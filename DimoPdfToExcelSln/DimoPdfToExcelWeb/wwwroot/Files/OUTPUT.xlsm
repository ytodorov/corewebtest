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project X\"/>
    </mc:Choice>
  </mc:AlternateContent>
  <bookViews>
    <workbookView xWindow="315" yWindow="-375" windowWidth="13230" windowHeight="13095" tabRatio="807"/>
  </bookViews>
  <sheets>
    <sheet name="Assets and Liabilities" sheetId="1" r:id="rId1"/>
    <sheet name="Profit &amp; Loss Statement" sheetId="2" r:id="rId2"/>
  </sheets>
  <functionGroups builtInGroupCount="18"/>
  <definedNames>
    <definedName name="_xlnm.Print_Area" localSheetId="0">'Assets and Liabilities'!$A$1:$Q$98</definedName>
    <definedName name="_xlnm.Print_Area" localSheetId="1">'Profit &amp; Loss Statement'!$A$1:$Q$102</definedName>
  </definedNames>
  <calcPr calcId="152511"/>
</workbook>
</file>

<file path=xl/calcChain.xml><?xml version="1.0" encoding="utf-8"?>
<calcChain xmlns="http://schemas.openxmlformats.org/spreadsheetml/2006/main">
  <c r="P96" i="1" l="1"/>
  <c r="M96" i="1"/>
  <c r="J96" i="1"/>
  <c r="G96" i="1"/>
  <c r="D96" i="1"/>
  <c r="D4" i="2"/>
  <c r="G4" i="1" l="1"/>
  <c r="J4" i="1" l="1"/>
  <c r="M4" i="1" l="1"/>
  <c r="P4" i="1" s="1"/>
  <c r="Q38" i="1" l="1"/>
  <c r="N38" i="1"/>
  <c r="F44" i="2" l="1"/>
  <c r="F32" i="2"/>
  <c r="F48" i="1"/>
  <c r="G4" i="2"/>
  <c r="F57" i="1"/>
  <c r="I57" i="1"/>
  <c r="L57" i="1"/>
  <c r="O57" i="1"/>
  <c r="D9" i="1"/>
  <c r="D14" i="1"/>
  <c r="D26" i="1"/>
  <c r="D34" i="1"/>
  <c r="D47" i="1"/>
  <c r="D55" i="1" s="1"/>
  <c r="D8" i="2"/>
  <c r="D46" i="2"/>
  <c r="D68" i="2"/>
  <c r="D80" i="2"/>
  <c r="D61" i="1"/>
  <c r="D82" i="1"/>
  <c r="G26" i="1"/>
  <c r="G8" i="2"/>
  <c r="G68" i="2"/>
  <c r="G80" i="2"/>
  <c r="J8" i="2"/>
  <c r="J46" i="2"/>
  <c r="J68" i="2"/>
  <c r="J80" i="2"/>
  <c r="I80" i="2" s="1"/>
  <c r="J90" i="2"/>
  <c r="D90" i="2"/>
  <c r="G90" i="2"/>
  <c r="D20" i="1"/>
  <c r="D71" i="1"/>
  <c r="G14" i="1"/>
  <c r="G9" i="1"/>
  <c r="G20" i="1"/>
  <c r="F20" i="1" s="1"/>
  <c r="G34" i="1"/>
  <c r="G61" i="1"/>
  <c r="G82" i="1"/>
  <c r="G71" i="1"/>
  <c r="M26" i="1"/>
  <c r="L26" i="1" s="1"/>
  <c r="M34" i="1"/>
  <c r="M32" i="1" s="1"/>
  <c r="M82" i="1"/>
  <c r="M78" i="1" s="1"/>
  <c r="P26" i="1"/>
  <c r="P34" i="1"/>
  <c r="P32" i="1" s="1"/>
  <c r="O32" i="1" s="1"/>
  <c r="P82" i="1"/>
  <c r="P78" i="1"/>
  <c r="O78" i="1" s="1"/>
  <c r="J26" i="1"/>
  <c r="J34" i="1"/>
  <c r="J82" i="1"/>
  <c r="P47" i="1"/>
  <c r="M47" i="1"/>
  <c r="J47" i="1"/>
  <c r="J55" i="1" s="1"/>
  <c r="G47" i="1"/>
  <c r="G55" i="1" s="1"/>
  <c r="P100" i="2"/>
  <c r="O100" i="2" s="1"/>
  <c r="M100" i="2"/>
  <c r="J100" i="2"/>
  <c r="G100" i="2"/>
  <c r="D100" i="2"/>
  <c r="P80" i="2"/>
  <c r="M80" i="2"/>
  <c r="P8" i="2"/>
  <c r="P22" i="2" s="1"/>
  <c r="P46" i="2"/>
  <c r="P48" i="2"/>
  <c r="P68" i="2"/>
  <c r="P82" i="2" s="1"/>
  <c r="O82" i="2" s="1"/>
  <c r="M8" i="2"/>
  <c r="M22" i="2" s="1"/>
  <c r="M46" i="2"/>
  <c r="M48" i="2" s="1"/>
  <c r="M68" i="2"/>
  <c r="P71" i="1"/>
  <c r="O71" i="1" s="1"/>
  <c r="M71" i="1"/>
  <c r="M67" i="1" s="1"/>
  <c r="L67" i="1" s="1"/>
  <c r="J71" i="1"/>
  <c r="G1" i="2"/>
  <c r="G1" i="1"/>
  <c r="M9" i="1"/>
  <c r="M14" i="1"/>
  <c r="L14" i="1" s="1"/>
  <c r="M20" i="1"/>
  <c r="L20" i="1" s="1"/>
  <c r="P9" i="1"/>
  <c r="P14" i="1"/>
  <c r="O14" i="1" s="1"/>
  <c r="P20" i="1"/>
  <c r="O20" i="1" s="1"/>
  <c r="J9" i="1"/>
  <c r="I9" i="1" s="1"/>
  <c r="J14" i="1"/>
  <c r="J20" i="1"/>
  <c r="I20" i="1" s="1"/>
  <c r="P90" i="2"/>
  <c r="M90" i="2"/>
  <c r="O70" i="1"/>
  <c r="L70" i="1"/>
  <c r="I70" i="1"/>
  <c r="I69" i="1"/>
  <c r="F70" i="1"/>
  <c r="M61" i="1"/>
  <c r="L61" i="1" s="1"/>
  <c r="J61" i="1"/>
  <c r="P61" i="1"/>
  <c r="L81" i="1"/>
  <c r="O81" i="1"/>
  <c r="I81" i="1"/>
  <c r="F81" i="1"/>
  <c r="G5" i="1"/>
  <c r="J5" i="1" s="1"/>
  <c r="Q5" i="2"/>
  <c r="N5" i="2"/>
  <c r="K5" i="2"/>
  <c r="H5" i="2"/>
  <c r="E5" i="2"/>
  <c r="D5" i="2"/>
  <c r="A1" i="2"/>
  <c r="A1" i="1"/>
  <c r="O89" i="1"/>
  <c r="O87" i="1"/>
  <c r="O86" i="1"/>
  <c r="O85" i="1"/>
  <c r="O84" i="1"/>
  <c r="O83" i="1"/>
  <c r="O82" i="1"/>
  <c r="O79" i="1"/>
  <c r="O76" i="1"/>
  <c r="O75" i="1"/>
  <c r="O74" i="1"/>
  <c r="O73" i="1"/>
  <c r="O72" i="1"/>
  <c r="O69" i="1"/>
  <c r="O68" i="1"/>
  <c r="O64" i="1"/>
  <c r="O63" i="1"/>
  <c r="O62" i="1"/>
  <c r="O59" i="1"/>
  <c r="O53" i="1"/>
  <c r="O52" i="1"/>
  <c r="O51" i="1"/>
  <c r="O50" i="1"/>
  <c r="O48" i="1"/>
  <c r="O43" i="1"/>
  <c r="O41" i="1"/>
  <c r="O39" i="1"/>
  <c r="O37" i="1"/>
  <c r="O36" i="1"/>
  <c r="O35" i="1"/>
  <c r="O33" i="1"/>
  <c r="O30" i="1"/>
  <c r="O29" i="1"/>
  <c r="O28" i="1"/>
  <c r="O27" i="1"/>
  <c r="O23" i="1"/>
  <c r="O22" i="1"/>
  <c r="O21" i="1"/>
  <c r="O18" i="1"/>
  <c r="O17" i="1"/>
  <c r="O16" i="1"/>
  <c r="O15" i="1"/>
  <c r="O12" i="1"/>
  <c r="O11" i="1"/>
  <c r="O10" i="1"/>
  <c r="L89" i="1"/>
  <c r="L87" i="1"/>
  <c r="L86" i="1"/>
  <c r="L85" i="1"/>
  <c r="L84" i="1"/>
  <c r="L83" i="1"/>
  <c r="L79" i="1"/>
  <c r="L76" i="1"/>
  <c r="L75" i="1"/>
  <c r="L74" i="1"/>
  <c r="L73" i="1"/>
  <c r="L72" i="1"/>
  <c r="L69" i="1"/>
  <c r="L68" i="1"/>
  <c r="L64" i="1"/>
  <c r="L63" i="1"/>
  <c r="L62" i="1"/>
  <c r="L59" i="1"/>
  <c r="L53" i="1"/>
  <c r="L52" i="1"/>
  <c r="L51" i="1"/>
  <c r="L50" i="1"/>
  <c r="L48" i="1"/>
  <c r="L43" i="1"/>
  <c r="L41" i="1"/>
  <c r="L39" i="1"/>
  <c r="L37" i="1"/>
  <c r="L36" i="1"/>
  <c r="L35" i="1"/>
  <c r="L34" i="1"/>
  <c r="L33" i="1"/>
  <c r="L30" i="1"/>
  <c r="L29" i="1"/>
  <c r="L28" i="1"/>
  <c r="L27" i="1"/>
  <c r="L23" i="1"/>
  <c r="L22" i="1"/>
  <c r="L21" i="1"/>
  <c r="L18" i="1"/>
  <c r="L17" i="1"/>
  <c r="L16" i="1"/>
  <c r="L15" i="1"/>
  <c r="L12" i="1"/>
  <c r="L11" i="1"/>
  <c r="L10" i="1"/>
  <c r="I89" i="1"/>
  <c r="I87" i="1"/>
  <c r="I86" i="1"/>
  <c r="I85" i="1"/>
  <c r="I84" i="1"/>
  <c r="I83" i="1"/>
  <c r="I79" i="1"/>
  <c r="I76" i="1"/>
  <c r="I75" i="1"/>
  <c r="I74" i="1"/>
  <c r="I73" i="1"/>
  <c r="I72" i="1"/>
  <c r="I68" i="1"/>
  <c r="I64" i="1"/>
  <c r="I63" i="1"/>
  <c r="I62" i="1"/>
  <c r="I59" i="1"/>
  <c r="I53" i="1"/>
  <c r="I52" i="1"/>
  <c r="I51" i="1"/>
  <c r="I50" i="1"/>
  <c r="I48" i="1"/>
  <c r="I43" i="1"/>
  <c r="I41" i="1"/>
  <c r="I39" i="1"/>
  <c r="I37" i="1"/>
  <c r="I36" i="1"/>
  <c r="I35" i="1"/>
  <c r="I33" i="1"/>
  <c r="I30" i="1"/>
  <c r="I29" i="1"/>
  <c r="I28" i="1"/>
  <c r="I27" i="1"/>
  <c r="I23" i="1"/>
  <c r="I22" i="1"/>
  <c r="I21" i="1"/>
  <c r="I18" i="1"/>
  <c r="I17" i="1"/>
  <c r="I16" i="1"/>
  <c r="I15" i="1"/>
  <c r="I12" i="1"/>
  <c r="I11" i="1"/>
  <c r="I10" i="1"/>
  <c r="F89" i="1"/>
  <c r="F87" i="1"/>
  <c r="F86" i="1"/>
  <c r="F85" i="1"/>
  <c r="F84" i="1"/>
  <c r="F83" i="1"/>
  <c r="F79" i="1"/>
  <c r="F76" i="1"/>
  <c r="F75" i="1"/>
  <c r="F74" i="1"/>
  <c r="F73" i="1"/>
  <c r="F72" i="1"/>
  <c r="F71" i="1"/>
  <c r="F69" i="1"/>
  <c r="F68" i="1"/>
  <c r="F64" i="1"/>
  <c r="F63" i="1"/>
  <c r="F62" i="1"/>
  <c r="F59" i="1"/>
  <c r="F53" i="1"/>
  <c r="F52" i="1"/>
  <c r="F51" i="1"/>
  <c r="F50" i="1"/>
  <c r="F43" i="1"/>
  <c r="F41" i="1"/>
  <c r="F39" i="1"/>
  <c r="F37" i="1"/>
  <c r="F36" i="1"/>
  <c r="F35" i="1"/>
  <c r="F33" i="1"/>
  <c r="F30" i="1"/>
  <c r="F29" i="1"/>
  <c r="F28" i="1"/>
  <c r="F27" i="1"/>
  <c r="F23" i="1"/>
  <c r="F22" i="1"/>
  <c r="F21" i="1"/>
  <c r="F18" i="1"/>
  <c r="F17" i="1"/>
  <c r="F16" i="1"/>
  <c r="F15" i="1"/>
  <c r="F12" i="1"/>
  <c r="F11" i="1"/>
  <c r="F10" i="1"/>
  <c r="O98" i="2"/>
  <c r="O96" i="2"/>
  <c r="O92" i="2"/>
  <c r="O90" i="2"/>
  <c r="O88" i="2"/>
  <c r="O86" i="2"/>
  <c r="O83" i="2"/>
  <c r="O80" i="2"/>
  <c r="O78" i="2"/>
  <c r="O76" i="2"/>
  <c r="O74" i="2"/>
  <c r="O72" i="2"/>
  <c r="O70" i="2"/>
  <c r="O68" i="2"/>
  <c r="O66" i="2"/>
  <c r="O64" i="2"/>
  <c r="O62" i="2"/>
  <c r="O60" i="2"/>
  <c r="O58" i="2"/>
  <c r="O56" i="2"/>
  <c r="O54" i="2"/>
  <c r="O52" i="2"/>
  <c r="O48" i="2"/>
  <c r="O46" i="2"/>
  <c r="O44" i="2"/>
  <c r="O42" i="2"/>
  <c r="O36" i="2"/>
  <c r="O34" i="2"/>
  <c r="O32" i="2"/>
  <c r="O30" i="2"/>
  <c r="O26" i="2"/>
  <c r="O24" i="2"/>
  <c r="O20" i="2"/>
  <c r="O18" i="2"/>
  <c r="O16" i="2"/>
  <c r="O14" i="2"/>
  <c r="O12" i="2"/>
  <c r="O10" i="2"/>
  <c r="O8" i="2"/>
  <c r="L98" i="2"/>
  <c r="L96" i="2"/>
  <c r="L92" i="2"/>
  <c r="L90" i="2"/>
  <c r="L88" i="2"/>
  <c r="L86" i="2"/>
  <c r="L83" i="2"/>
  <c r="L80" i="2"/>
  <c r="L78" i="2"/>
  <c r="L76" i="2"/>
  <c r="L74" i="2"/>
  <c r="L72" i="2"/>
  <c r="L70" i="2"/>
  <c r="L68" i="2"/>
  <c r="L66" i="2"/>
  <c r="L64" i="2"/>
  <c r="L62" i="2"/>
  <c r="L60" i="2"/>
  <c r="L58" i="2"/>
  <c r="L56" i="2"/>
  <c r="L54" i="2"/>
  <c r="L52" i="2"/>
  <c r="L46" i="2"/>
  <c r="L44" i="2"/>
  <c r="L42" i="2"/>
  <c r="L36" i="2"/>
  <c r="L34" i="2"/>
  <c r="L32" i="2"/>
  <c r="L30" i="2"/>
  <c r="L26" i="2"/>
  <c r="L24" i="2"/>
  <c r="L20" i="2"/>
  <c r="L18" i="2"/>
  <c r="L16" i="2"/>
  <c r="L14" i="2"/>
  <c r="L12" i="2"/>
  <c r="L10" i="2"/>
  <c r="L8" i="2"/>
  <c r="I98" i="2"/>
  <c r="I96" i="2"/>
  <c r="I92" i="2"/>
  <c r="I90" i="2"/>
  <c r="I88" i="2"/>
  <c r="I86" i="2"/>
  <c r="I83" i="2"/>
  <c r="I78" i="2"/>
  <c r="I76" i="2"/>
  <c r="I74" i="2"/>
  <c r="I72" i="2"/>
  <c r="I70" i="2"/>
  <c r="I66" i="2"/>
  <c r="I64" i="2"/>
  <c r="I62" i="2"/>
  <c r="I60" i="2"/>
  <c r="I58" i="2"/>
  <c r="I56" i="2"/>
  <c r="I54" i="2"/>
  <c r="I52" i="2"/>
  <c r="I44" i="2"/>
  <c r="I42" i="2"/>
  <c r="I36" i="2"/>
  <c r="I34" i="2"/>
  <c r="I32" i="2"/>
  <c r="I30" i="2"/>
  <c r="I26" i="2"/>
  <c r="I24" i="2"/>
  <c r="I20" i="2"/>
  <c r="I18" i="2"/>
  <c r="I16" i="2"/>
  <c r="I14" i="2"/>
  <c r="I12" i="2"/>
  <c r="I10" i="2"/>
  <c r="F98" i="2"/>
  <c r="F96" i="2"/>
  <c r="F92" i="2"/>
  <c r="F88" i="2"/>
  <c r="F86" i="2"/>
  <c r="F83" i="2"/>
  <c r="F78" i="2"/>
  <c r="F76" i="2"/>
  <c r="F74" i="2"/>
  <c r="F72" i="2"/>
  <c r="F70" i="2"/>
  <c r="F66" i="2"/>
  <c r="F64" i="2"/>
  <c r="F62" i="2"/>
  <c r="F60" i="2"/>
  <c r="F58" i="2"/>
  <c r="F56" i="2"/>
  <c r="F54" i="2"/>
  <c r="F52" i="2"/>
  <c r="F42" i="2"/>
  <c r="F36" i="2"/>
  <c r="F34" i="2"/>
  <c r="F30" i="2"/>
  <c r="F26" i="2"/>
  <c r="F24" i="2"/>
  <c r="F20" i="2"/>
  <c r="F18" i="2"/>
  <c r="F16" i="2"/>
  <c r="F14" i="2"/>
  <c r="F12" i="2"/>
  <c r="F10" i="2"/>
  <c r="Q80" i="2"/>
  <c r="Q68" i="2"/>
  <c r="Q48" i="2"/>
  <c r="Q46" i="2"/>
  <c r="Q32" i="2"/>
  <c r="Q30" i="2"/>
  <c r="Q26" i="2"/>
  <c r="Q24" i="2"/>
  <c r="Q12" i="2"/>
  <c r="Q10" i="2"/>
  <c r="N80" i="2"/>
  <c r="N68" i="2"/>
  <c r="N46" i="2"/>
  <c r="N32" i="2"/>
  <c r="N30" i="2"/>
  <c r="N26" i="2"/>
  <c r="N24" i="2"/>
  <c r="N12" i="2"/>
  <c r="N10" i="2"/>
  <c r="K24" i="2"/>
  <c r="J67" i="1" l="1"/>
  <c r="I67" i="1" s="1"/>
  <c r="G32" i="1"/>
  <c r="H38" i="1" s="1"/>
  <c r="D67" i="1"/>
  <c r="J22" i="2"/>
  <c r="D78" i="1"/>
  <c r="D48" i="2"/>
  <c r="G67" i="1"/>
  <c r="J78" i="1"/>
  <c r="G78" i="1"/>
  <c r="J32" i="1"/>
  <c r="K38" i="1" s="1"/>
  <c r="J48" i="2"/>
  <c r="G22" i="2"/>
  <c r="D32" i="1"/>
  <c r="E38" i="1" s="1"/>
  <c r="D22" i="2"/>
  <c r="I68" i="2"/>
  <c r="F90" i="2"/>
  <c r="K46" i="2"/>
  <c r="F68" i="2"/>
  <c r="P25" i="1"/>
  <c r="F100" i="2"/>
  <c r="G82" i="2"/>
  <c r="I8" i="2"/>
  <c r="I82" i="1"/>
  <c r="I26" i="1"/>
  <c r="I34" i="1"/>
  <c r="I47" i="1"/>
  <c r="L47" i="1"/>
  <c r="O34" i="1"/>
  <c r="I61" i="1"/>
  <c r="I14" i="1"/>
  <c r="M8" i="1"/>
  <c r="F61" i="1"/>
  <c r="L82" i="1"/>
  <c r="I71" i="1"/>
  <c r="I100" i="2"/>
  <c r="F14" i="1"/>
  <c r="P8" i="1"/>
  <c r="F26" i="1"/>
  <c r="M55" i="1"/>
  <c r="K26" i="2"/>
  <c r="K68" i="2"/>
  <c r="K32" i="2"/>
  <c r="K12" i="2"/>
  <c r="K10" i="2"/>
  <c r="K30" i="2"/>
  <c r="K80" i="2"/>
  <c r="F80" i="2"/>
  <c r="G46" i="2"/>
  <c r="E80" i="2"/>
  <c r="E10" i="2"/>
  <c r="E30" i="2"/>
  <c r="H68" i="2"/>
  <c r="H32" i="2"/>
  <c r="F8" i="2"/>
  <c r="H80" i="2"/>
  <c r="H24" i="2"/>
  <c r="H26" i="2"/>
  <c r="E68" i="2"/>
  <c r="E46" i="2"/>
  <c r="E24" i="2"/>
  <c r="E32" i="2"/>
  <c r="E12" i="2"/>
  <c r="E26" i="2"/>
  <c r="F47" i="1"/>
  <c r="G8" i="1"/>
  <c r="P4" i="2"/>
  <c r="M25" i="1"/>
  <c r="L32" i="1"/>
  <c r="O9" i="1"/>
  <c r="O47" i="1"/>
  <c r="F9" i="1"/>
  <c r="L71" i="1"/>
  <c r="O26" i="1"/>
  <c r="L9" i="1"/>
  <c r="P55" i="1"/>
  <c r="P67" i="1"/>
  <c r="F82" i="1"/>
  <c r="O61" i="1"/>
  <c r="N48" i="2"/>
  <c r="L100" i="2"/>
  <c r="M82" i="2"/>
  <c r="K48" i="2"/>
  <c r="L48" i="2"/>
  <c r="M50" i="2"/>
  <c r="N18" i="2"/>
  <c r="M28" i="2"/>
  <c r="N22" i="2"/>
  <c r="N14" i="2"/>
  <c r="L22" i="2"/>
  <c r="N16" i="2"/>
  <c r="N8" i="2"/>
  <c r="F34" i="1"/>
  <c r="H12" i="2"/>
  <c r="H30" i="2"/>
  <c r="H10" i="2"/>
  <c r="H8" i="2"/>
  <c r="H16" i="2"/>
  <c r="H14" i="2"/>
  <c r="H22" i="2"/>
  <c r="H18" i="2"/>
  <c r="J82" i="2"/>
  <c r="G28" i="2"/>
  <c r="J50" i="2"/>
  <c r="I22" i="2"/>
  <c r="K22" i="2"/>
  <c r="K8" i="2"/>
  <c r="K18" i="2"/>
  <c r="K14" i="2"/>
  <c r="K16" i="2"/>
  <c r="J66" i="1"/>
  <c r="I78" i="1"/>
  <c r="F78" i="1"/>
  <c r="G25" i="1"/>
  <c r="F32" i="1"/>
  <c r="J8" i="1"/>
  <c r="D82" i="2"/>
  <c r="E48" i="2"/>
  <c r="D66" i="1"/>
  <c r="D8" i="1"/>
  <c r="P50" i="2"/>
  <c r="P28" i="2"/>
  <c r="Q14" i="2"/>
  <c r="Q16" i="2"/>
  <c r="Q8" i="2"/>
  <c r="Q18" i="2"/>
  <c r="O22" i="2"/>
  <c r="Q22" i="2"/>
  <c r="F67" i="1"/>
  <c r="G66" i="1"/>
  <c r="M5" i="1"/>
  <c r="J5" i="2"/>
  <c r="J25" i="1"/>
  <c r="I32" i="1"/>
  <c r="M84" i="2"/>
  <c r="N50" i="2"/>
  <c r="M66" i="1"/>
  <c r="L78" i="1"/>
  <c r="D25" i="1"/>
  <c r="G5" i="2"/>
  <c r="J28" i="2"/>
  <c r="L82" i="2" l="1"/>
  <c r="E8" i="2"/>
  <c r="E16" i="2"/>
  <c r="E22" i="2"/>
  <c r="E18" i="2"/>
  <c r="D50" i="2"/>
  <c r="F22" i="2"/>
  <c r="E14" i="2"/>
  <c r="D28" i="2"/>
  <c r="O25" i="1"/>
  <c r="P45" i="1"/>
  <c r="Q79" i="1" s="1"/>
  <c r="M45" i="1"/>
  <c r="N55" i="1" s="1"/>
  <c r="F82" i="2"/>
  <c r="H46" i="2"/>
  <c r="I46" i="2"/>
  <c r="O8" i="1"/>
  <c r="F8" i="1"/>
  <c r="L25" i="1"/>
  <c r="I8" i="1"/>
  <c r="G45" i="1"/>
  <c r="G48" i="2"/>
  <c r="I48" i="2" s="1"/>
  <c r="F46" i="2"/>
  <c r="J4" i="2"/>
  <c r="P66" i="1"/>
  <c r="O67" i="1"/>
  <c r="M4" i="2"/>
  <c r="L50" i="2"/>
  <c r="K50" i="2"/>
  <c r="N28" i="2"/>
  <c r="L28" i="2"/>
  <c r="M40" i="2"/>
  <c r="J84" i="2"/>
  <c r="L8" i="1"/>
  <c r="I82" i="2"/>
  <c r="J45" i="1"/>
  <c r="G40" i="2"/>
  <c r="H28" i="2"/>
  <c r="J91" i="1"/>
  <c r="I66" i="1"/>
  <c r="F25" i="1"/>
  <c r="D91" i="1"/>
  <c r="M94" i="2"/>
  <c r="L84" i="2"/>
  <c r="N84" i="2"/>
  <c r="N92" i="2"/>
  <c r="D45" i="1"/>
  <c r="L66" i="1"/>
  <c r="M91" i="1"/>
  <c r="P5" i="1"/>
  <c r="P5" i="2" s="1"/>
  <c r="M5" i="2"/>
  <c r="P84" i="2"/>
  <c r="O50" i="2"/>
  <c r="Q50" i="2"/>
  <c r="J40" i="2"/>
  <c r="I28" i="2"/>
  <c r="K28" i="2"/>
  <c r="I25" i="1"/>
  <c r="G91" i="1"/>
  <c r="F66" i="1"/>
  <c r="O28" i="2"/>
  <c r="Q28" i="2"/>
  <c r="P40" i="2"/>
  <c r="D40" i="2" l="1"/>
  <c r="E50" i="2"/>
  <c r="F28" i="2"/>
  <c r="E28" i="2"/>
  <c r="D84" i="2"/>
  <c r="D94" i="2" s="1"/>
  <c r="Q48" i="1"/>
  <c r="Q26" i="1"/>
  <c r="Q52" i="1"/>
  <c r="Q33" i="1"/>
  <c r="Q29" i="1"/>
  <c r="Q27" i="1"/>
  <c r="N30" i="1"/>
  <c r="N22" i="1"/>
  <c r="N23" i="1"/>
  <c r="N34" i="1"/>
  <c r="Q10" i="1"/>
  <c r="Q14" i="1"/>
  <c r="Q8" i="1"/>
  <c r="Q81" i="1"/>
  <c r="Q78" i="1"/>
  <c r="Q76" i="1"/>
  <c r="Q75" i="1"/>
  <c r="Q74" i="1"/>
  <c r="Q51" i="1"/>
  <c r="Q50" i="1"/>
  <c r="N67" i="1"/>
  <c r="N91" i="1"/>
  <c r="N44" i="1"/>
  <c r="N43" i="1"/>
  <c r="N59" i="1"/>
  <c r="N63" i="1"/>
  <c r="N87" i="1"/>
  <c r="N11" i="1"/>
  <c r="N15" i="1"/>
  <c r="N57" i="1"/>
  <c r="N71" i="1"/>
  <c r="N79" i="1"/>
  <c r="N84" i="1"/>
  <c r="Q45" i="1"/>
  <c r="Q9" i="1"/>
  <c r="Q28" i="1"/>
  <c r="Q47" i="1"/>
  <c r="Q72" i="1"/>
  <c r="Q22" i="1"/>
  <c r="Q71" i="1"/>
  <c r="Q21" i="1"/>
  <c r="Q41" i="1"/>
  <c r="Q69" i="1"/>
  <c r="Q57" i="1"/>
  <c r="Q20" i="1"/>
  <c r="Q39" i="1"/>
  <c r="Q68" i="1"/>
  <c r="Q89" i="1"/>
  <c r="Q23" i="1"/>
  <c r="Q44" i="1"/>
  <c r="Q67" i="1"/>
  <c r="Q87" i="1"/>
  <c r="Q17" i="1"/>
  <c r="Q36" i="1"/>
  <c r="Q66" i="1"/>
  <c r="Q86" i="1"/>
  <c r="Q16" i="1"/>
  <c r="Q35" i="1"/>
  <c r="Q64" i="1"/>
  <c r="Q85" i="1"/>
  <c r="Q55" i="1"/>
  <c r="Q25" i="1"/>
  <c r="Q73" i="1"/>
  <c r="Q43" i="1"/>
  <c r="Q70" i="1"/>
  <c r="Q15" i="1"/>
  <c r="Q34" i="1"/>
  <c r="Q63" i="1"/>
  <c r="Q84" i="1"/>
  <c r="Q18" i="1"/>
  <c r="Q37" i="1"/>
  <c r="Q62" i="1"/>
  <c r="Q83" i="1"/>
  <c r="Q12" i="1"/>
  <c r="Q32" i="1"/>
  <c r="Q61" i="1"/>
  <c r="Q82" i="1"/>
  <c r="Q11" i="1"/>
  <c r="Q30" i="1"/>
  <c r="Q59" i="1"/>
  <c r="N18" i="1"/>
  <c r="N62" i="1"/>
  <c r="N17" i="1"/>
  <c r="N86" i="1"/>
  <c r="N10" i="1"/>
  <c r="N14" i="1"/>
  <c r="N33" i="1"/>
  <c r="N52" i="1"/>
  <c r="N76" i="1"/>
  <c r="N12" i="1"/>
  <c r="N32" i="1"/>
  <c r="N61" i="1"/>
  <c r="N82" i="1"/>
  <c r="N21" i="1"/>
  <c r="N41" i="1"/>
  <c r="N69" i="1"/>
  <c r="N25" i="1"/>
  <c r="N45" i="1"/>
  <c r="N73" i="1"/>
  <c r="N70" i="1"/>
  <c r="N37" i="1"/>
  <c r="N83" i="1"/>
  <c r="N36" i="1"/>
  <c r="N66" i="1"/>
  <c r="N26" i="1"/>
  <c r="N50" i="1"/>
  <c r="N74" i="1"/>
  <c r="N29" i="1"/>
  <c r="N48" i="1"/>
  <c r="N78" i="1"/>
  <c r="N81" i="1"/>
  <c r="O45" i="1"/>
  <c r="N9" i="1"/>
  <c r="N28" i="1"/>
  <c r="N47" i="1"/>
  <c r="N72" i="1"/>
  <c r="N8" i="1"/>
  <c r="N27" i="1"/>
  <c r="N51" i="1"/>
  <c r="N75" i="1"/>
  <c r="N16" i="1"/>
  <c r="N35" i="1"/>
  <c r="N64" i="1"/>
  <c r="N85" i="1"/>
  <c r="N20" i="1"/>
  <c r="N39" i="1"/>
  <c r="N68" i="1"/>
  <c r="N89" i="1"/>
  <c r="K92" i="2"/>
  <c r="K84" i="2"/>
  <c r="H41" i="1"/>
  <c r="H45" i="1"/>
  <c r="H37" i="1"/>
  <c r="H36" i="1"/>
  <c r="H25" i="1"/>
  <c r="H18" i="1"/>
  <c r="H79" i="1"/>
  <c r="H89" i="1"/>
  <c r="H83" i="1"/>
  <c r="H82" i="1"/>
  <c r="H21" i="1"/>
  <c r="H17" i="1"/>
  <c r="H59" i="1"/>
  <c r="H68" i="1"/>
  <c r="H62" i="1"/>
  <c r="H61" i="1"/>
  <c r="H55" i="1"/>
  <c r="H74" i="1"/>
  <c r="H35" i="1"/>
  <c r="H84" i="1"/>
  <c r="H39" i="1"/>
  <c r="H76" i="1"/>
  <c r="H14" i="1"/>
  <c r="H33" i="1"/>
  <c r="H51" i="1"/>
  <c r="H12" i="1"/>
  <c r="H32" i="1"/>
  <c r="H57" i="1"/>
  <c r="H69" i="1"/>
  <c r="H11" i="1"/>
  <c r="H30" i="1"/>
  <c r="H48" i="1"/>
  <c r="H78" i="1"/>
  <c r="H15" i="1"/>
  <c r="H34" i="1"/>
  <c r="H47" i="1"/>
  <c r="H72" i="1"/>
  <c r="H9" i="1"/>
  <c r="H28" i="1"/>
  <c r="H81" i="1"/>
  <c r="H71" i="1"/>
  <c r="H8" i="1"/>
  <c r="H27" i="1"/>
  <c r="H50" i="1"/>
  <c r="H16" i="1"/>
  <c r="H63" i="1"/>
  <c r="H20" i="1"/>
  <c r="H52" i="1"/>
  <c r="H75" i="1"/>
  <c r="H64" i="1"/>
  <c r="H85" i="1"/>
  <c r="H26" i="1"/>
  <c r="H73" i="1"/>
  <c r="H10" i="1"/>
  <c r="H29" i="1"/>
  <c r="H70" i="1"/>
  <c r="H67" i="1"/>
  <c r="H87" i="1"/>
  <c r="H23" i="1"/>
  <c r="H44" i="1"/>
  <c r="H66" i="1"/>
  <c r="H86" i="1"/>
  <c r="H22" i="1"/>
  <c r="H43" i="1"/>
  <c r="K55" i="1"/>
  <c r="E57" i="1"/>
  <c r="E55" i="1"/>
  <c r="F48" i="2"/>
  <c r="H48" i="2"/>
  <c r="G50" i="2"/>
  <c r="I50" i="2" s="1"/>
  <c r="K57" i="1"/>
  <c r="O66" i="1"/>
  <c r="P91" i="1"/>
  <c r="Q91" i="1" s="1"/>
  <c r="K82" i="1"/>
  <c r="K8" i="1"/>
  <c r="K32" i="1"/>
  <c r="J92" i="1"/>
  <c r="J94" i="2"/>
  <c r="J102" i="2" s="1"/>
  <c r="L40" i="2"/>
  <c r="N40" i="2"/>
  <c r="K51" i="1"/>
  <c r="K68" i="1"/>
  <c r="K10" i="1"/>
  <c r="K27" i="1"/>
  <c r="K75" i="1"/>
  <c r="K59" i="1"/>
  <c r="K28" i="1"/>
  <c r="K12" i="1"/>
  <c r="K61" i="1"/>
  <c r="K50" i="1"/>
  <c r="K73" i="1"/>
  <c r="K11" i="1"/>
  <c r="K25" i="1"/>
  <c r="K47" i="1"/>
  <c r="L45" i="1"/>
  <c r="I45" i="1"/>
  <c r="K22" i="1"/>
  <c r="K43" i="1"/>
  <c r="K71" i="1"/>
  <c r="K81" i="1"/>
  <c r="K30" i="1"/>
  <c r="K79" i="1"/>
  <c r="K48" i="1"/>
  <c r="K23" i="1"/>
  <c r="K72" i="1"/>
  <c r="K17" i="1"/>
  <c r="K36" i="1"/>
  <c r="K66" i="1"/>
  <c r="K86" i="1"/>
  <c r="K26" i="1"/>
  <c r="K74" i="1"/>
  <c r="K29" i="1"/>
  <c r="K9" i="1"/>
  <c r="K67" i="1"/>
  <c r="K45" i="1"/>
  <c r="K89" i="1"/>
  <c r="K44" i="1"/>
  <c r="K87" i="1"/>
  <c r="K21" i="1"/>
  <c r="K41" i="1"/>
  <c r="K69" i="1"/>
  <c r="K91" i="1"/>
  <c r="K20" i="1"/>
  <c r="K39" i="1"/>
  <c r="K63" i="1"/>
  <c r="K84" i="1"/>
  <c r="K18" i="1"/>
  <c r="K37" i="1"/>
  <c r="K62" i="1"/>
  <c r="K83" i="1"/>
  <c r="K70" i="1"/>
  <c r="K16" i="1"/>
  <c r="K35" i="1"/>
  <c r="K64" i="1"/>
  <c r="K85" i="1"/>
  <c r="K15" i="1"/>
  <c r="K34" i="1"/>
  <c r="K78" i="1"/>
  <c r="K14" i="1"/>
  <c r="K33" i="1"/>
  <c r="K52" i="1"/>
  <c r="K76" i="1"/>
  <c r="F45" i="1"/>
  <c r="D92" i="1"/>
  <c r="H40" i="2"/>
  <c r="H91" i="1"/>
  <c r="I91" i="1"/>
  <c r="I40" i="2"/>
  <c r="K40" i="2"/>
  <c r="M92" i="1"/>
  <c r="L91" i="1"/>
  <c r="E91" i="1"/>
  <c r="E85" i="1"/>
  <c r="E79" i="1"/>
  <c r="E74" i="1"/>
  <c r="E69" i="1"/>
  <c r="E64" i="1"/>
  <c r="E59" i="1"/>
  <c r="E50" i="1"/>
  <c r="E39" i="1"/>
  <c r="E34" i="1"/>
  <c r="E29" i="1"/>
  <c r="E25" i="1"/>
  <c r="E20" i="1"/>
  <c r="E15" i="1"/>
  <c r="E10" i="1"/>
  <c r="E80" i="1"/>
  <c r="E70" i="1"/>
  <c r="E86" i="1"/>
  <c r="E82" i="1"/>
  <c r="E75" i="1"/>
  <c r="E71" i="1"/>
  <c r="E66" i="1"/>
  <c r="E61" i="1"/>
  <c r="E51" i="1"/>
  <c r="E41" i="1"/>
  <c r="E35" i="1"/>
  <c r="E30" i="1"/>
  <c r="E26" i="1"/>
  <c r="E21" i="1"/>
  <c r="E16" i="1"/>
  <c r="E11" i="1"/>
  <c r="E87" i="1"/>
  <c r="E83" i="1"/>
  <c r="E76" i="1"/>
  <c r="E72" i="1"/>
  <c r="E67" i="1"/>
  <c r="E62" i="1"/>
  <c r="E52" i="1"/>
  <c r="E47" i="1"/>
  <c r="E43" i="1"/>
  <c r="E36" i="1"/>
  <c r="E32" i="1"/>
  <c r="E27" i="1"/>
  <c r="E22" i="1"/>
  <c r="E17" i="1"/>
  <c r="E12" i="1"/>
  <c r="E8" i="1"/>
  <c r="E81" i="1"/>
  <c r="E89" i="1"/>
  <c r="E84" i="1"/>
  <c r="E78" i="1"/>
  <c r="E73" i="1"/>
  <c r="E68" i="1"/>
  <c r="E63" i="1"/>
  <c r="E48" i="1"/>
  <c r="E45" i="1"/>
  <c r="E37" i="1"/>
  <c r="E33" i="1"/>
  <c r="E28" i="1"/>
  <c r="E23" i="1"/>
  <c r="E18" i="1"/>
  <c r="E14" i="1"/>
  <c r="E9" i="1"/>
  <c r="G92" i="1"/>
  <c r="F91" i="1"/>
  <c r="O84" i="2"/>
  <c r="P94" i="2"/>
  <c r="Q84" i="2"/>
  <c r="Q92" i="2"/>
  <c r="L94" i="2"/>
  <c r="M102" i="2"/>
  <c r="N94" i="2"/>
  <c r="Q40" i="2"/>
  <c r="O40" i="2"/>
  <c r="E40" i="2" l="1"/>
  <c r="F40" i="2"/>
  <c r="E84" i="2"/>
  <c r="E92" i="2"/>
  <c r="H50" i="2"/>
  <c r="G84" i="2"/>
  <c r="I84" i="2" s="1"/>
  <c r="F50" i="2"/>
  <c r="O91" i="1"/>
  <c r="P92" i="1"/>
  <c r="K94" i="2"/>
  <c r="P102" i="2"/>
  <c r="O94" i="2"/>
  <c r="Q94" i="2"/>
  <c r="E94" i="2"/>
  <c r="D102" i="2"/>
  <c r="E100" i="2" s="1"/>
  <c r="L102" i="2"/>
  <c r="N100" i="2"/>
  <c r="K100" i="2"/>
  <c r="H84" i="2" l="1"/>
  <c r="H92" i="2"/>
  <c r="F84" i="2"/>
  <c r="G94" i="2"/>
  <c r="Q100" i="2"/>
  <c r="O102" i="2"/>
  <c r="I94" i="2" l="1"/>
  <c r="H94" i="2"/>
  <c r="F94" i="2"/>
  <c r="G102" i="2"/>
  <c r="I102" i="2" s="1"/>
  <c r="H100" i="2" l="1"/>
  <c r="F102" i="2"/>
</calcChain>
</file>

<file path=xl/sharedStrings.xml><?xml version="1.0" encoding="utf-8"?>
<sst xmlns="http://schemas.openxmlformats.org/spreadsheetml/2006/main" count="165" uniqueCount="124">
  <si>
    <t>Balance Sheet date</t>
  </si>
  <si>
    <t>Tangible Assets</t>
  </si>
  <si>
    <t>Financial Assets</t>
  </si>
  <si>
    <t>A. Fixed Assets</t>
  </si>
  <si>
    <t>I. Intangible Assets</t>
  </si>
  <si>
    <t>II.Tangible Assets</t>
  </si>
  <si>
    <t>III.Financial Assets</t>
  </si>
  <si>
    <t>B. Current Assets</t>
  </si>
  <si>
    <t>I. Inventories</t>
  </si>
  <si>
    <t>II. Receivables</t>
  </si>
  <si>
    <t>III. Short-term Securities</t>
  </si>
  <si>
    <t>IV. Cash and Cash Equivalents</t>
  </si>
  <si>
    <t>A. Equity capital</t>
  </si>
  <si>
    <t>II. Capital reserves</t>
  </si>
  <si>
    <t>I. Subscribed Capital</t>
  </si>
  <si>
    <t>of which retained profit/loss</t>
  </si>
  <si>
    <t>D. Provisions</t>
  </si>
  <si>
    <t>C. Investment grant (state aid)</t>
  </si>
  <si>
    <t>F. Liabilities</t>
  </si>
  <si>
    <t>1.Software &amp; Licences &amp; Concessions</t>
  </si>
  <si>
    <t>2. Goodwill</t>
  </si>
  <si>
    <t>3. Other intangible assets</t>
  </si>
  <si>
    <t>1. Land and buildings</t>
  </si>
  <si>
    <t>2. Machineries &amp; techn. Equipment</t>
  </si>
  <si>
    <t>3. other tangible assets</t>
  </si>
  <si>
    <t>1. Shares in other entities</t>
  </si>
  <si>
    <t>2. Long-term securities</t>
  </si>
  <si>
    <t>3. other long-term loans given</t>
  </si>
  <si>
    <t>1. Raw materials</t>
  </si>
  <si>
    <t>2. Finished goods</t>
  </si>
  <si>
    <t>3. Unfinished goods</t>
  </si>
  <si>
    <t>4. Prepayments</t>
  </si>
  <si>
    <t>1.Trade receivables</t>
  </si>
  <si>
    <t>2. Intercompany receivables</t>
  </si>
  <si>
    <t>3. Other receivables</t>
  </si>
  <si>
    <t>Leasing commitment</t>
  </si>
  <si>
    <t>Total assets</t>
  </si>
  <si>
    <t>Total Liabilities &amp; Equity</t>
  </si>
  <si>
    <t>4. assets in the course of constructions</t>
  </si>
  <si>
    <t xml:space="preserve">          a. trade &amp; services</t>
  </si>
  <si>
    <t xml:space="preserve">          b. loans &amp; cash-pooling</t>
  </si>
  <si>
    <t>share in %</t>
  </si>
  <si>
    <t>Amount</t>
  </si>
  <si>
    <t>B. Other Reserves (Quasi Equity)</t>
  </si>
  <si>
    <t>I. Restructuring</t>
  </si>
  <si>
    <t>II. Pension funds</t>
  </si>
  <si>
    <t>III. Other provisions</t>
  </si>
  <si>
    <t>I. Long-term liabilities</t>
  </si>
  <si>
    <t>1. Bank liabilities</t>
  </si>
  <si>
    <t xml:space="preserve">          b. loans &amp; cashpooling</t>
  </si>
  <si>
    <t>II. Short-term liabilities</t>
  </si>
  <si>
    <t>1. Bank liabilities &amp; overdrafts</t>
  </si>
  <si>
    <t>2. Bonds</t>
  </si>
  <si>
    <t>IV. Balance-sheet income / loss</t>
  </si>
  <si>
    <t>Change to last period</t>
  </si>
  <si>
    <t>in %</t>
  </si>
  <si>
    <t>Domestic</t>
  </si>
  <si>
    <t>Export</t>
  </si>
  <si>
    <t>Total revenues</t>
  </si>
  <si>
    <t>Other operating income</t>
  </si>
  <si>
    <t>thereof sale of assets</t>
  </si>
  <si>
    <t>Costs for material</t>
  </si>
  <si>
    <t>Costs for purchased services</t>
  </si>
  <si>
    <t>EBITDA</t>
  </si>
  <si>
    <t>EBIT</t>
  </si>
  <si>
    <t>Income from participations</t>
  </si>
  <si>
    <t>Increase or decrease in finished goods, inventories and work in process</t>
  </si>
  <si>
    <t>Own work capitalized</t>
  </si>
  <si>
    <t>Other operating expenses</t>
  </si>
  <si>
    <t>Depreciation on intangible fixed assets and tangible assets as well on capitalized start-up and business expansion expenses</t>
  </si>
  <si>
    <t>Deprecation on current assets to the extent that they exceed provisions normaly recorded by the company</t>
  </si>
  <si>
    <t>Total Depreciation</t>
  </si>
  <si>
    <t>Sales</t>
  </si>
  <si>
    <t>Income from other investments and long term loans</t>
  </si>
  <si>
    <t>Other interest and similar income</t>
  </si>
  <si>
    <t>thereof from affiliatied entities</t>
  </si>
  <si>
    <t>Income from sale of financial assets and short term securities</t>
  </si>
  <si>
    <t>Financial income</t>
  </si>
  <si>
    <t>Total expenses</t>
  </si>
  <si>
    <t>Write down of financial assets and short term securities</t>
  </si>
  <si>
    <t>Interest and similar expenses</t>
  </si>
  <si>
    <t>thereof to affiliated entities</t>
  </si>
  <si>
    <t>thereof from affiliated entities</t>
  </si>
  <si>
    <t>thereof taxes (except on income)</t>
  </si>
  <si>
    <t>FX losses</t>
  </si>
  <si>
    <t>Other financial expenses</t>
  </si>
  <si>
    <t>Financial expenses</t>
  </si>
  <si>
    <t>Financial result</t>
  </si>
  <si>
    <t>Extraordinary income</t>
  </si>
  <si>
    <t>Extraordinary expenses</t>
  </si>
  <si>
    <t>Result on extraordinary activities</t>
  </si>
  <si>
    <t>Result on ordinary activities</t>
  </si>
  <si>
    <t>Taxes on income</t>
  </si>
  <si>
    <t>Net income/net loss for the year</t>
  </si>
  <si>
    <t>Release of capital reserves</t>
  </si>
  <si>
    <t xml:space="preserve">Release of retained earnings  </t>
  </si>
  <si>
    <t>Profit/Loss brought forward</t>
  </si>
  <si>
    <t>Profit/Loss available for distribution</t>
  </si>
  <si>
    <t>Other financial income</t>
  </si>
  <si>
    <t>Gross Profit</t>
  </si>
  <si>
    <t>3. Liabilities from trade &amp; services</t>
  </si>
  <si>
    <t>4. Intercompany liabilities</t>
  </si>
  <si>
    <t>5. Tax liabilities</t>
  </si>
  <si>
    <t>6. Social security liabilities</t>
  </si>
  <si>
    <t>7. Other liabilities</t>
  </si>
  <si>
    <t>Fiscal year/months</t>
  </si>
  <si>
    <t>Dev Assets &amp; Liabilitites</t>
  </si>
  <si>
    <t>Contingent liabilities (guarantees etc.)</t>
  </si>
  <si>
    <t>data in</t>
  </si>
  <si>
    <t>unpaid issued capital</t>
  </si>
  <si>
    <t>2.Advances from customers</t>
  </si>
  <si>
    <t>Personnel costs</t>
  </si>
  <si>
    <t xml:space="preserve">          a. trade &amp; services (inter-co.)</t>
  </si>
  <si>
    <t xml:space="preserve">          b. loans &amp; cashpooling (inter-co.)</t>
  </si>
  <si>
    <t>C. Accrued &amp; Deferred Income</t>
  </si>
  <si>
    <t>G. Accrued &amp; Deffered Expenses</t>
  </si>
  <si>
    <t>Tangible Net-Worth:                             (Equity capital - Goodwill)</t>
  </si>
  <si>
    <t>III. Other reserves</t>
  </si>
  <si>
    <t>thereof write-off of receivables</t>
  </si>
  <si>
    <t xml:space="preserve">       thereof pledged or ceded receivables</t>
  </si>
  <si>
    <t>Pledged Assets:</t>
  </si>
  <si>
    <t>within the next 1 year</t>
  </si>
  <si>
    <t>within the next 5 years</t>
  </si>
  <si>
    <t>thereof costs for leasing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</si>
</sst>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2" formatCode="_(&quot;$&quot;* #,##0_);_(&quot;$&quot;* \(#,##0\);_(&quot;$&quot;* &quot;-&quot;_);_(@_)"/>
    <numFmt numFmtId="41" formatCode="_(* #,##0_);_(* \(#,##0\);_(* &quot;-&quot;_);_(@_)"/>
    <numFmt numFmtId="166" formatCode="_-&quot;€&quot;\ * #,##0.00_-;\-&quot;€&quot;\ * #,##0.00_-;_-&quot;€&quot;\ * &quot;-&quot;??_-;_-@_-"/>
    <numFmt numFmtId="169" formatCode="_-* #,##0\ &quot;Esc.&quot;_-;\-* #,##0\ &quot;Esc.&quot;_-;_-* &quot;-&quot;\ &quot;Esc.&quot;_-;_-@_-"/>
    <numFmt numFmtId="170" formatCode="_-* #,##0\ _E_s_c_._-;\-* #,##0\ _E_s_c_._-;_-* &quot;-&quot;\ _E_s_c_._-;_-@_-"/>
    <numFmt numFmtId="171" formatCode="_-* ###,0&quot;.&quot;00\ &quot;Esc.&quot;_-;\-* ###,0&quot;.&quot;00\ &quot;Esc.&quot;_-;_-* &quot;-&quot;??\ &quot;Esc.&quot;_-;_-@_-"/>
    <numFmt numFmtId="172" formatCode="_-* ###,0&quot;.&quot;00\ _E_s_c_._-;\-* ###,0&quot;.&quot;00\ _E_s_c_._-;_-* &quot;-&quot;??\ _E_s_c_._-;_-@_-"/>
    <numFmt numFmtId="173" formatCode="_(* ###,0&quot;.&quot;00_);_(* \(###,0&quot;.&quot;00\);_(* &quot;-&quot;??_);_(@_)"/>
    <numFmt numFmtId="174" formatCode="_(&quot;$&quot;* ###,0&quot;.&quot;00_);_(&quot;$&quot;* \(###,0&quot;.&quot;00\);_(&quot;$&quot;* &quot;-&quot;??_);_(@_)"/>
  </numFmts>
  <fonts count="5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9"/>
      <color indexed="55"/>
      <name val="Arial"/>
      <family val="2"/>
    </font>
    <font>
      <sz val="8"/>
      <color indexed="55"/>
      <name val="Arial"/>
      <family val="2"/>
    </font>
    <font>
      <i/>
      <sz val="8"/>
      <color indexed="55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9"/>
      <color indexed="10"/>
      <name val="Arial"/>
      <family val="2"/>
    </font>
    <font>
      <sz val="8"/>
      <color indexed="10"/>
      <name val="Arial"/>
      <family val="2"/>
    </font>
    <font>
      <b/>
      <sz val="9"/>
      <color indexed="10"/>
      <name val="Arial"/>
      <family val="2"/>
    </font>
    <font>
      <i/>
      <sz val="8"/>
      <color indexed="55"/>
      <name val="Arial"/>
      <family val="2"/>
    </font>
    <font>
      <i/>
      <sz val="8"/>
      <color indexed="10"/>
      <name val="Arial"/>
      <family val="2"/>
    </font>
    <font>
      <sz val="9"/>
      <name val="Arial"/>
      <family val="2"/>
    </font>
    <font>
      <sz val="9"/>
      <color indexed="55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9"/>
      <color indexed="10"/>
      <name val="Arial"/>
      <family val="2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1"/>
      <name val="Arial"/>
      <family val="2"/>
    </font>
    <font>
      <sz val="11"/>
      <color indexed="22"/>
      <name val="Arial"/>
      <family val="2"/>
    </font>
    <font>
      <b/>
      <i/>
      <sz val="8"/>
      <color rgb="FFFF0000"/>
      <name val="Arial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b/>
      <i/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i/>
      <sz val="10"/>
      <name val="Calibri"/>
      <family val="2"/>
      <scheme val="minor"/>
    </font>
    <font>
      <sz val="9"/>
      <color indexed="55"/>
      <name val="Calibri"/>
      <family val="2"/>
      <scheme val="minor"/>
    </font>
    <font>
      <sz val="8"/>
      <color indexed="55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10"/>
      <color indexed="55"/>
      <name val="Calibri"/>
      <family val="2"/>
      <scheme val="minor"/>
    </font>
    <font>
      <i/>
      <sz val="8"/>
      <color indexed="55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3"/>
      <name val="Arial"/>
      <family val="2"/>
    </font>
    <font>
      <b/>
      <sz val="8"/>
      <color rgb="FFFF0000"/>
      <name val="Calibri"/>
      <family val="2"/>
      <scheme val="minor"/>
    </font>
    <font>
      <b/>
      <i/>
      <sz val="8"/>
      <color theme="8"/>
      <name val="Arial"/>
      <family val="2"/>
    </font>
    <font>
      <sz val="11"/>
      <color theme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medium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otted">
        <color indexed="64"/>
      </top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6" fontId="1" fillId="0" borderId="0" applyFont="0" applyFill="0" applyBorder="0" applyAlignment="0" applyProtection="0"/>
    <xf numFmtId="41" fontId="29" fillId="0" borderId="0" applyFont="0" applyFill="0" applyBorder="0" applyAlignment="0" applyProtection="0"/>
    <xf numFmtId="173" fontId="29" fillId="0" borderId="0" applyFont="0" applyFill="0" applyBorder="0" applyAlignment="0" applyProtection="0"/>
    <xf numFmtId="170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30" fillId="0" borderId="0"/>
    <xf numFmtId="42" fontId="29" fillId="0" borderId="0" applyFont="0" applyFill="0" applyBorder="0" applyAlignment="0" applyProtection="0"/>
    <xf numFmtId="174" fontId="29" fillId="0" borderId="0" applyFont="0" applyFill="0" applyBorder="0" applyAlignment="0" applyProtection="0"/>
  </cellStyleXfs>
  <cellXfs count="352">
    <xf numFmtId="0" fontId="0" fillId="0" borderId="0" xfId="0"/>
    <xf numFmtId="0" fontId="4" fillId="0" borderId="0" xfId="0" applyFont="1"/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7" fillId="0" borderId="0" xfId="0" applyFont="1"/>
    <xf numFmtId="0" fontId="4" fillId="0" borderId="0" xfId="0" applyFont="1" applyAlignment="1">
      <alignment horizontal="left"/>
    </xf>
    <xf numFmtId="0" fontId="8" fillId="0" borderId="0" xfId="0" applyFont="1"/>
    <xf numFmtId="0" fontId="4" fillId="2" borderId="0" xfId="0" applyFont="1" applyFill="1" applyBorder="1" applyAlignment="1">
      <alignment horizontal="center"/>
    </xf>
    <xf numFmtId="0" fontId="13" fillId="0" borderId="0" xfId="0" applyFont="1"/>
    <xf numFmtId="1" fontId="12" fillId="2" borderId="1" xfId="0" applyNumberFormat="1" applyFont="1" applyFill="1" applyBorder="1" applyAlignment="1">
      <alignment horizontal="center"/>
    </xf>
    <xf numFmtId="1" fontId="12" fillId="2" borderId="2" xfId="0" applyNumberFormat="1" applyFont="1" applyFill="1" applyBorder="1" applyAlignment="1">
      <alignment horizontal="center"/>
    </xf>
    <xf numFmtId="0" fontId="3" fillId="0" borderId="0" xfId="0" applyFont="1"/>
    <xf numFmtId="1" fontId="9" fillId="2" borderId="0" xfId="0" applyNumberFormat="1" applyFont="1" applyFill="1" applyBorder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0" fontId="0" fillId="0" borderId="0" xfId="0" applyBorder="1"/>
    <xf numFmtId="0" fontId="0" fillId="0" borderId="0" xfId="0" applyFill="1"/>
    <xf numFmtId="0" fontId="24" fillId="0" borderId="0" xfId="0" applyFont="1"/>
    <xf numFmtId="0" fontId="5" fillId="0" borderId="0" xfId="0" applyFont="1"/>
    <xf numFmtId="0" fontId="4" fillId="0" borderId="0" xfId="0" applyFont="1" applyAlignment="1"/>
    <xf numFmtId="10" fontId="26" fillId="2" borderId="0" xfId="0" applyNumberFormat="1" applyFont="1" applyFill="1" applyBorder="1" applyAlignment="1">
      <alignment horizontal="right"/>
    </xf>
    <xf numFmtId="10" fontId="9" fillId="2" borderId="0" xfId="0" applyNumberFormat="1" applyFont="1" applyFill="1" applyBorder="1" applyAlignment="1">
      <alignment horizontal="right"/>
    </xf>
    <xf numFmtId="10" fontId="8" fillId="2" borderId="0" xfId="0" applyNumberFormat="1" applyFont="1" applyFill="1" applyBorder="1" applyAlignment="1">
      <alignment horizontal="right"/>
    </xf>
    <xf numFmtId="0" fontId="4" fillId="0" borderId="0" xfId="0" applyFont="1" applyBorder="1"/>
    <xf numFmtId="10" fontId="12" fillId="2" borderId="0" xfId="0" applyNumberFormat="1" applyFont="1" applyFill="1" applyBorder="1" applyAlignment="1">
      <alignment horizontal="right"/>
    </xf>
    <xf numFmtId="4" fontId="4" fillId="2" borderId="1" xfId="0" applyNumberFormat="1" applyFont="1" applyFill="1" applyBorder="1"/>
    <xf numFmtId="10" fontId="15" fillId="2" borderId="2" xfId="0" applyNumberFormat="1" applyFont="1" applyFill="1" applyBorder="1" applyAlignment="1">
      <alignment horizontal="right"/>
    </xf>
    <xf numFmtId="10" fontId="16" fillId="2" borderId="2" xfId="0" applyNumberFormat="1" applyFont="1" applyFill="1" applyBorder="1" applyAlignment="1">
      <alignment horizontal="right"/>
    </xf>
    <xf numFmtId="0" fontId="0" fillId="3" borderId="0" xfId="0" applyFill="1"/>
    <xf numFmtId="10" fontId="11" fillId="2" borderId="0" xfId="0" applyNumberFormat="1" applyFont="1" applyFill="1" applyBorder="1" applyAlignment="1">
      <alignment horizontal="right"/>
    </xf>
    <xf numFmtId="10" fontId="27" fillId="2" borderId="0" xfId="0" applyNumberFormat="1" applyFont="1" applyFill="1" applyBorder="1" applyAlignment="1">
      <alignment horizontal="right"/>
    </xf>
    <xf numFmtId="10" fontId="25" fillId="2" borderId="2" xfId="0" applyNumberFormat="1" applyFont="1" applyFill="1" applyBorder="1"/>
    <xf numFmtId="10" fontId="22" fillId="2" borderId="2" xfId="0" applyNumberFormat="1" applyFont="1" applyFill="1" applyBorder="1"/>
    <xf numFmtId="10" fontId="19" fillId="2" borderId="2" xfId="0" applyNumberFormat="1" applyFont="1" applyFill="1" applyBorder="1"/>
    <xf numFmtId="10" fontId="20" fillId="2" borderId="2" xfId="0" applyNumberFormat="1" applyFont="1" applyFill="1" applyBorder="1"/>
    <xf numFmtId="4" fontId="21" fillId="2" borderId="1" xfId="0" applyNumberFormat="1" applyFont="1" applyFill="1" applyBorder="1"/>
    <xf numFmtId="10" fontId="21" fillId="2" borderId="2" xfId="0" applyNumberFormat="1" applyFont="1" applyFill="1" applyBorder="1"/>
    <xf numFmtId="10" fontId="14" fillId="2" borderId="2" xfId="0" applyNumberFormat="1" applyFont="1" applyFill="1" applyBorder="1"/>
    <xf numFmtId="4" fontId="13" fillId="2" borderId="1" xfId="0" applyNumberFormat="1" applyFont="1" applyFill="1" applyBorder="1"/>
    <xf numFmtId="4" fontId="28" fillId="2" borderId="1" xfId="0" applyNumberFormat="1" applyFont="1" applyFill="1" applyBorder="1"/>
    <xf numFmtId="10" fontId="28" fillId="2" borderId="2" xfId="0" applyNumberFormat="1" applyFont="1" applyFill="1" applyBorder="1"/>
    <xf numFmtId="10" fontId="4" fillId="2" borderId="2" xfId="0" applyNumberFormat="1" applyFont="1" applyFill="1" applyBorder="1"/>
    <xf numFmtId="10" fontId="9" fillId="2" borderId="2" xfId="0" applyNumberFormat="1" applyFont="1" applyFill="1" applyBorder="1"/>
    <xf numFmtId="0" fontId="24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0" fillId="3" borderId="0" xfId="0" applyFill="1" applyBorder="1"/>
    <xf numFmtId="0" fontId="4" fillId="0" borderId="0" xfId="0" applyFont="1" applyBorder="1" applyAlignment="1"/>
    <xf numFmtId="0" fontId="13" fillId="0" borderId="0" xfId="0" applyFont="1" applyBorder="1"/>
    <xf numFmtId="1" fontId="5" fillId="2" borderId="13" xfId="0" applyNumberFormat="1" applyFont="1" applyFill="1" applyBorder="1" applyAlignment="1"/>
    <xf numFmtId="1" fontId="5" fillId="2" borderId="14" xfId="0" applyNumberFormat="1" applyFont="1" applyFill="1" applyBorder="1" applyAlignment="1"/>
    <xf numFmtId="0" fontId="7" fillId="0" borderId="0" xfId="0" applyFont="1" applyBorder="1"/>
    <xf numFmtId="10" fontId="13" fillId="2" borderId="2" xfId="0" applyNumberFormat="1" applyFont="1" applyFill="1" applyBorder="1"/>
    <xf numFmtId="10" fontId="3" fillId="2" borderId="2" xfId="0" applyNumberFormat="1" applyFont="1" applyFill="1" applyBorder="1"/>
    <xf numFmtId="10" fontId="15" fillId="2" borderId="2" xfId="0" applyNumberFormat="1" applyFont="1" applyFill="1" applyBorder="1"/>
    <xf numFmtId="4" fontId="4" fillId="2" borderId="1" xfId="0" applyNumberFormat="1" applyFont="1" applyFill="1" applyBorder="1" applyProtection="1">
      <protection locked="0"/>
    </xf>
    <xf numFmtId="4" fontId="3" fillId="2" borderId="1" xfId="0" applyNumberFormat="1" applyFont="1" applyFill="1" applyBorder="1" applyProtection="1">
      <protection locked="0"/>
    </xf>
    <xf numFmtId="4" fontId="9" fillId="2" borderId="1" xfId="0" applyNumberFormat="1" applyFont="1" applyFill="1" applyBorder="1" applyProtection="1">
      <protection locked="0"/>
    </xf>
    <xf numFmtId="4" fontId="24" fillId="2" borderId="1" xfId="0" applyNumberFormat="1" applyFont="1" applyFill="1" applyBorder="1" applyProtection="1">
      <protection locked="0"/>
    </xf>
    <xf numFmtId="4" fontId="19" fillId="2" borderId="1" xfId="0" applyNumberFormat="1" applyFont="1" applyFill="1" applyBorder="1" applyProtection="1">
      <protection locked="0"/>
    </xf>
    <xf numFmtId="4" fontId="20" fillId="2" borderId="1" xfId="0" applyNumberFormat="1" applyFont="1" applyFill="1" applyBorder="1" applyProtection="1">
      <protection locked="0"/>
    </xf>
    <xf numFmtId="4" fontId="3" fillId="2" borderId="1" xfId="0" applyNumberFormat="1" applyFont="1" applyFill="1" applyBorder="1" applyAlignment="1" applyProtection="1">
      <alignment horizontal="right"/>
      <protection locked="0"/>
    </xf>
    <xf numFmtId="4" fontId="11" fillId="2" borderId="1" xfId="0" applyNumberFormat="1" applyFont="1" applyFill="1" applyBorder="1" applyAlignment="1" applyProtection="1">
      <alignment horizontal="right"/>
      <protection locked="0"/>
    </xf>
    <xf numFmtId="4" fontId="23" fillId="2" borderId="1" xfId="0" applyNumberFormat="1" applyFont="1" applyFill="1" applyBorder="1" applyProtection="1">
      <protection locked="0"/>
    </xf>
    <xf numFmtId="0" fontId="31" fillId="2" borderId="0" xfId="0" applyFont="1" applyFill="1" applyBorder="1" applyProtection="1">
      <protection hidden="1"/>
    </xf>
    <xf numFmtId="0" fontId="31" fillId="2" borderId="1" xfId="0" applyFont="1" applyFill="1" applyBorder="1" applyProtection="1">
      <protection hidden="1"/>
    </xf>
    <xf numFmtId="0" fontId="32" fillId="2" borderId="2" xfId="0" applyFont="1" applyFill="1" applyBorder="1" applyProtection="1">
      <protection hidden="1"/>
    </xf>
    <xf numFmtId="0" fontId="6" fillId="2" borderId="0" xfId="0" applyFont="1" applyFill="1" applyAlignment="1" applyProtection="1">
      <alignment horizontal="left"/>
      <protection hidden="1"/>
    </xf>
    <xf numFmtId="0" fontId="37" fillId="0" borderId="0" xfId="0" applyFont="1"/>
    <xf numFmtId="4" fontId="33" fillId="2" borderId="1" xfId="0" applyNumberFormat="1" applyFont="1" applyFill="1" applyBorder="1" applyProtection="1">
      <protection locked="0"/>
    </xf>
    <xf numFmtId="0" fontId="43" fillId="2" borderId="0" xfId="0" applyFont="1" applyFill="1" applyProtection="1">
      <protection hidden="1"/>
    </xf>
    <xf numFmtId="0" fontId="44" fillId="2" borderId="0" xfId="0" applyFont="1" applyFill="1" applyProtection="1">
      <protection hidden="1"/>
    </xf>
    <xf numFmtId="0" fontId="43" fillId="0" borderId="0" xfId="0" applyFont="1"/>
    <xf numFmtId="0" fontId="43" fillId="2" borderId="0" xfId="0" applyFont="1" applyFill="1" applyAlignment="1" applyProtection="1">
      <alignment horizontal="left"/>
      <protection hidden="1"/>
    </xf>
    <xf numFmtId="0" fontId="43" fillId="0" borderId="0" xfId="0" applyFont="1" applyProtection="1">
      <protection hidden="1"/>
    </xf>
    <xf numFmtId="1" fontId="42" fillId="2" borderId="14" xfId="0" applyNumberFormat="1" applyFont="1" applyFill="1" applyBorder="1" applyAlignment="1" applyProtection="1">
      <protection locked="0" hidden="1"/>
    </xf>
    <xf numFmtId="1" fontId="42" fillId="2" borderId="13" xfId="0" applyNumberFormat="1" applyFont="1" applyFill="1" applyBorder="1" applyAlignment="1" applyProtection="1">
      <protection locked="0" hidden="1"/>
    </xf>
    <xf numFmtId="0" fontId="43" fillId="2" borderId="0" xfId="0" applyFont="1" applyFill="1" applyAlignment="1" applyProtection="1">
      <alignment horizontal="center"/>
      <protection hidden="1"/>
    </xf>
    <xf numFmtId="0" fontId="43" fillId="2" borderId="0" xfId="0" applyFont="1" applyFill="1" applyBorder="1" applyAlignment="1" applyProtection="1">
      <alignment horizontal="center"/>
      <protection hidden="1"/>
    </xf>
    <xf numFmtId="1" fontId="41" fillId="2" borderId="1" xfId="0" applyNumberFormat="1" applyFont="1" applyFill="1" applyBorder="1" applyAlignment="1" applyProtection="1">
      <alignment horizontal="center"/>
      <protection hidden="1"/>
    </xf>
    <xf numFmtId="1" fontId="41" fillId="2" borderId="2" xfId="0" applyNumberFormat="1" applyFont="1" applyFill="1" applyBorder="1" applyAlignment="1" applyProtection="1">
      <alignment horizontal="center"/>
      <protection hidden="1"/>
    </xf>
    <xf numFmtId="1" fontId="39" fillId="2" borderId="0" xfId="0" applyNumberFormat="1" applyFont="1" applyFill="1" applyBorder="1" applyAlignment="1" applyProtection="1">
      <alignment horizontal="center"/>
      <protection hidden="1"/>
    </xf>
    <xf numFmtId="0" fontId="34" fillId="0" borderId="0" xfId="0" applyFont="1" applyProtection="1">
      <protection hidden="1"/>
    </xf>
    <xf numFmtId="4" fontId="43" fillId="2" borderId="16" xfId="0" applyNumberFormat="1" applyFont="1" applyFill="1" applyBorder="1" applyProtection="1">
      <protection hidden="1"/>
    </xf>
    <xf numFmtId="10" fontId="46" fillId="2" borderId="15" xfId="0" applyNumberFormat="1" applyFont="1" applyFill="1" applyBorder="1" applyAlignment="1" applyProtection="1">
      <alignment horizontal="right"/>
      <protection hidden="1"/>
    </xf>
    <xf numFmtId="10" fontId="44" fillId="2" borderId="25" xfId="0" applyNumberFormat="1" applyFont="1" applyFill="1" applyBorder="1" applyAlignment="1" applyProtection="1">
      <alignment horizontal="right"/>
      <protection hidden="1"/>
    </xf>
    <xf numFmtId="4" fontId="43" fillId="2" borderId="1" xfId="0" applyNumberFormat="1" applyFont="1" applyFill="1" applyBorder="1" applyProtection="1">
      <protection locked="0"/>
    </xf>
    <xf numFmtId="10" fontId="46" fillId="2" borderId="2" xfId="0" applyNumberFormat="1" applyFont="1" applyFill="1" applyBorder="1" applyAlignment="1">
      <alignment horizontal="right"/>
    </xf>
    <xf numFmtId="10" fontId="44" fillId="2" borderId="0" xfId="0" applyNumberFormat="1" applyFont="1" applyFill="1" applyBorder="1" applyAlignment="1" applyProtection="1">
      <alignment horizontal="right"/>
      <protection hidden="1"/>
    </xf>
    <xf numFmtId="0" fontId="43" fillId="2" borderId="0" xfId="0" applyFont="1" applyFill="1" applyBorder="1" applyAlignment="1" applyProtection="1">
      <alignment horizontal="left"/>
      <protection hidden="1"/>
    </xf>
    <xf numFmtId="4" fontId="43" fillId="2" borderId="1" xfId="0" applyNumberFormat="1" applyFont="1" applyFill="1" applyBorder="1" applyProtection="1">
      <protection hidden="1"/>
    </xf>
    <xf numFmtId="10" fontId="46" fillId="2" borderId="2" xfId="0" applyNumberFormat="1" applyFont="1" applyFill="1" applyBorder="1" applyAlignment="1" applyProtection="1">
      <alignment horizontal="right"/>
      <protection hidden="1"/>
    </xf>
    <xf numFmtId="4" fontId="40" fillId="2" borderId="1" xfId="0" applyNumberFormat="1" applyFont="1" applyFill="1" applyBorder="1" applyProtection="1">
      <protection locked="0"/>
    </xf>
    <xf numFmtId="10" fontId="39" fillId="2" borderId="0" xfId="0" applyNumberFormat="1" applyFont="1" applyFill="1" applyBorder="1" applyAlignment="1" applyProtection="1">
      <alignment horizontal="right"/>
      <protection hidden="1"/>
    </xf>
    <xf numFmtId="0" fontId="43" fillId="2" borderId="0" xfId="0" applyFont="1" applyFill="1" applyAlignment="1">
      <alignment horizontal="right"/>
    </xf>
    <xf numFmtId="0" fontId="43" fillId="2" borderId="0" xfId="0" applyFont="1" applyFill="1" applyBorder="1" applyAlignment="1">
      <alignment horizontal="right"/>
    </xf>
    <xf numFmtId="4" fontId="43" fillId="2" borderId="1" xfId="0" applyNumberFormat="1" applyFont="1" applyFill="1" applyBorder="1"/>
    <xf numFmtId="0" fontId="40" fillId="0" borderId="0" xfId="0" applyFont="1"/>
    <xf numFmtId="0" fontId="40" fillId="2" borderId="0" xfId="0" applyFont="1" applyFill="1" applyAlignment="1" applyProtection="1">
      <alignment horizontal="left"/>
      <protection hidden="1"/>
    </xf>
    <xf numFmtId="0" fontId="40" fillId="2" borderId="0" xfId="0" applyFont="1" applyFill="1" applyBorder="1" applyAlignment="1" applyProtection="1">
      <alignment horizontal="left"/>
      <protection hidden="1"/>
    </xf>
    <xf numFmtId="4" fontId="40" fillId="2" borderId="1" xfId="0" applyNumberFormat="1" applyFont="1" applyFill="1" applyBorder="1" applyProtection="1">
      <protection hidden="1"/>
    </xf>
    <xf numFmtId="10" fontId="47" fillId="2" borderId="2" xfId="0" applyNumberFormat="1" applyFont="1" applyFill="1" applyBorder="1" applyAlignment="1" applyProtection="1">
      <alignment horizontal="right"/>
      <protection hidden="1"/>
    </xf>
    <xf numFmtId="0" fontId="40" fillId="0" borderId="0" xfId="0" applyFont="1" applyProtection="1">
      <protection hidden="1"/>
    </xf>
    <xf numFmtId="10" fontId="47" fillId="2" borderId="2" xfId="0" applyNumberFormat="1" applyFont="1" applyFill="1" applyBorder="1" applyAlignment="1">
      <alignment horizontal="right"/>
    </xf>
    <xf numFmtId="4" fontId="39" fillId="2" borderId="1" xfId="0" applyNumberFormat="1" applyFont="1" applyFill="1" applyBorder="1" applyProtection="1">
      <protection locked="0"/>
    </xf>
    <xf numFmtId="4" fontId="43" fillId="2" borderId="16" xfId="0" applyNumberFormat="1" applyFont="1" applyFill="1" applyBorder="1" applyProtection="1">
      <protection locked="0"/>
    </xf>
    <xf numFmtId="10" fontId="46" fillId="2" borderId="15" xfId="0" applyNumberFormat="1" applyFont="1" applyFill="1" applyBorder="1" applyAlignment="1">
      <alignment horizontal="right"/>
    </xf>
    <xf numFmtId="4" fontId="43" fillId="0" borderId="1" xfId="0" applyNumberFormat="1" applyFont="1" applyBorder="1" applyProtection="1">
      <protection hidden="1"/>
    </xf>
    <xf numFmtId="10" fontId="43" fillId="0" borderId="2" xfId="0" applyNumberFormat="1" applyFont="1" applyBorder="1" applyAlignment="1" applyProtection="1">
      <alignment horizontal="right"/>
      <protection hidden="1"/>
    </xf>
    <xf numFmtId="10" fontId="44" fillId="0" borderId="0" xfId="0" applyNumberFormat="1" applyFont="1" applyBorder="1" applyAlignment="1" applyProtection="1">
      <alignment horizontal="right"/>
      <protection hidden="1"/>
    </xf>
    <xf numFmtId="0" fontId="42" fillId="0" borderId="0" xfId="0" applyFont="1"/>
    <xf numFmtId="10" fontId="43" fillId="2" borderId="2" xfId="0" applyNumberFormat="1" applyFont="1" applyFill="1" applyBorder="1" applyAlignment="1" applyProtection="1">
      <alignment horizontal="right"/>
      <protection hidden="1"/>
    </xf>
    <xf numFmtId="0" fontId="43" fillId="0" borderId="0" xfId="0" applyFont="1" applyBorder="1" applyProtection="1">
      <protection hidden="1"/>
    </xf>
    <xf numFmtId="4" fontId="43" fillId="2" borderId="23" xfId="0" applyNumberFormat="1" applyFont="1" applyFill="1" applyBorder="1" applyProtection="1">
      <protection locked="0"/>
    </xf>
    <xf numFmtId="10" fontId="43" fillId="2" borderId="18" xfId="0" applyNumberFormat="1" applyFont="1" applyFill="1" applyBorder="1" applyAlignment="1">
      <alignment horizontal="right"/>
    </xf>
    <xf numFmtId="10" fontId="44" fillId="2" borderId="26" xfId="0" applyNumberFormat="1" applyFont="1" applyFill="1" applyBorder="1" applyAlignment="1" applyProtection="1">
      <alignment horizontal="right"/>
      <protection hidden="1"/>
    </xf>
    <xf numFmtId="10" fontId="39" fillId="2" borderId="2" xfId="0" applyNumberFormat="1" applyFont="1" applyFill="1" applyBorder="1" applyAlignment="1" applyProtection="1">
      <alignment horizontal="right"/>
      <protection hidden="1"/>
    </xf>
    <xf numFmtId="10" fontId="43" fillId="2" borderId="2" xfId="0" applyNumberFormat="1" applyFont="1" applyFill="1" applyBorder="1" applyAlignment="1">
      <alignment horizontal="right"/>
    </xf>
    <xf numFmtId="10" fontId="39" fillId="2" borderId="2" xfId="0" applyNumberFormat="1" applyFont="1" applyFill="1" applyBorder="1" applyAlignment="1">
      <alignment horizontal="right"/>
    </xf>
    <xf numFmtId="0" fontId="39" fillId="0" borderId="0" xfId="0" applyFont="1"/>
    <xf numFmtId="0" fontId="39" fillId="2" borderId="0" xfId="0" applyFont="1" applyFill="1" applyBorder="1" applyAlignment="1">
      <alignment horizontal="left"/>
    </xf>
    <xf numFmtId="4" fontId="48" fillId="6" borderId="1" xfId="0" applyNumberFormat="1" applyFont="1" applyFill="1" applyBorder="1" applyProtection="1">
      <protection locked="0"/>
    </xf>
    <xf numFmtId="10" fontId="48" fillId="6" borderId="2" xfId="0" applyNumberFormat="1" applyFont="1" applyFill="1" applyBorder="1" applyAlignment="1">
      <alignment horizontal="right"/>
    </xf>
    <xf numFmtId="10" fontId="48" fillId="6" borderId="0" xfId="0" applyNumberFormat="1" applyFont="1" applyFill="1" applyBorder="1" applyAlignment="1" applyProtection="1">
      <alignment horizontal="right"/>
      <protection hidden="1"/>
    </xf>
    <xf numFmtId="4" fontId="43" fillId="2" borderId="24" xfId="0" applyNumberFormat="1" applyFont="1" applyFill="1" applyBorder="1" applyProtection="1">
      <protection hidden="1"/>
    </xf>
    <xf numFmtId="10" fontId="44" fillId="2" borderId="27" xfId="0" applyNumberFormat="1" applyFont="1" applyFill="1" applyBorder="1" applyAlignment="1" applyProtection="1">
      <alignment horizontal="right"/>
      <protection hidden="1"/>
    </xf>
    <xf numFmtId="0" fontId="34" fillId="0" borderId="0" xfId="0" applyFont="1"/>
    <xf numFmtId="4" fontId="37" fillId="2" borderId="1" xfId="0" applyNumberFormat="1" applyFont="1" applyFill="1" applyBorder="1" applyProtection="1">
      <protection locked="0"/>
    </xf>
    <xf numFmtId="10" fontId="49" fillId="2" borderId="2" xfId="0" applyNumberFormat="1" applyFont="1" applyFill="1" applyBorder="1" applyAlignment="1">
      <alignment horizontal="right"/>
    </xf>
    <xf numFmtId="10" fontId="45" fillId="2" borderId="0" xfId="0" applyNumberFormat="1" applyFont="1" applyFill="1" applyBorder="1" applyAlignment="1" applyProtection="1">
      <alignment horizontal="right"/>
      <protection hidden="1"/>
    </xf>
    <xf numFmtId="4" fontId="37" fillId="2" borderId="16" xfId="0" applyNumberFormat="1" applyFont="1" applyFill="1" applyBorder="1" applyProtection="1">
      <protection locked="0"/>
    </xf>
    <xf numFmtId="10" fontId="49" fillId="2" borderId="15" xfId="0" applyNumberFormat="1" applyFont="1" applyFill="1" applyBorder="1" applyAlignment="1">
      <alignment horizontal="right"/>
    </xf>
    <xf numFmtId="10" fontId="45" fillId="2" borderId="25" xfId="0" applyNumberFormat="1" applyFont="1" applyFill="1" applyBorder="1" applyAlignment="1" applyProtection="1">
      <alignment horizontal="right"/>
      <protection hidden="1"/>
    </xf>
    <xf numFmtId="4" fontId="37" fillId="2" borderId="24" xfId="0" applyNumberFormat="1" applyFont="1" applyFill="1" applyBorder="1" applyProtection="1">
      <protection locked="0"/>
    </xf>
    <xf numFmtId="10" fontId="49" fillId="2" borderId="17" xfId="0" applyNumberFormat="1" applyFont="1" applyFill="1" applyBorder="1" applyAlignment="1">
      <alignment horizontal="right"/>
    </xf>
    <xf numFmtId="10" fontId="45" fillId="2" borderId="27" xfId="0" applyNumberFormat="1" applyFont="1" applyFill="1" applyBorder="1" applyAlignment="1" applyProtection="1">
      <alignment horizontal="right"/>
      <protection hidden="1"/>
    </xf>
    <xf numFmtId="0" fontId="40" fillId="2" borderId="0" xfId="0" applyFont="1" applyFill="1" applyAlignment="1">
      <alignment horizontal="left"/>
    </xf>
    <xf numFmtId="0" fontId="40" fillId="2" borderId="0" xfId="0" applyFont="1" applyFill="1" applyBorder="1" applyAlignment="1">
      <alignment horizontal="left"/>
    </xf>
    <xf numFmtId="10" fontId="50" fillId="2" borderId="2" xfId="0" applyNumberFormat="1" applyFont="1" applyFill="1" applyBorder="1" applyAlignment="1">
      <alignment horizontal="right"/>
    </xf>
    <xf numFmtId="4" fontId="37" fillId="2" borderId="1" xfId="0" applyNumberFormat="1" applyFont="1" applyFill="1" applyBorder="1" applyProtection="1">
      <protection hidden="1"/>
    </xf>
    <xf numFmtId="0" fontId="37" fillId="0" borderId="0" xfId="0" applyFont="1" applyProtection="1">
      <protection hidden="1"/>
    </xf>
    <xf numFmtId="0" fontId="34" fillId="2" borderId="25" xfId="0" applyFont="1" applyFill="1" applyBorder="1" applyAlignment="1" applyProtection="1">
      <alignment horizontal="left"/>
      <protection hidden="1"/>
    </xf>
    <xf numFmtId="4" fontId="37" fillId="2" borderId="16" xfId="0" applyNumberFormat="1" applyFont="1" applyFill="1" applyBorder="1" applyProtection="1">
      <protection hidden="1"/>
    </xf>
    <xf numFmtId="10" fontId="37" fillId="2" borderId="15" xfId="0" applyNumberFormat="1" applyFont="1" applyFill="1" applyBorder="1" applyAlignment="1" applyProtection="1">
      <alignment horizontal="right"/>
      <protection hidden="1"/>
    </xf>
    <xf numFmtId="0" fontId="38" fillId="4" borderId="0" xfId="0" applyFont="1" applyFill="1" applyAlignment="1" applyProtection="1">
      <alignment horizontal="left"/>
      <protection hidden="1"/>
    </xf>
    <xf numFmtId="0" fontId="38" fillId="4" borderId="0" xfId="0" applyFont="1" applyFill="1" applyBorder="1" applyAlignment="1" applyProtection="1">
      <alignment horizontal="left"/>
      <protection hidden="1"/>
    </xf>
    <xf numFmtId="4" fontId="38" fillId="4" borderId="1" xfId="0" applyNumberFormat="1" applyFont="1" applyFill="1" applyBorder="1" applyProtection="1">
      <protection hidden="1"/>
    </xf>
    <xf numFmtId="10" fontId="38" fillId="4" borderId="2" xfId="0" applyNumberFormat="1" applyFont="1" applyFill="1" applyBorder="1" applyAlignment="1" applyProtection="1">
      <alignment horizontal="right"/>
      <protection hidden="1"/>
    </xf>
    <xf numFmtId="10" fontId="38" fillId="4" borderId="0" xfId="0" applyNumberFormat="1" applyFont="1" applyFill="1" applyBorder="1" applyAlignment="1" applyProtection="1">
      <alignment horizontal="right"/>
      <protection hidden="1"/>
    </xf>
    <xf numFmtId="0" fontId="34" fillId="0" borderId="0" xfId="0" applyFont="1" applyFill="1" applyProtection="1">
      <protection hidden="1"/>
    </xf>
    <xf numFmtId="0" fontId="43" fillId="2" borderId="2" xfId="0" applyFont="1" applyFill="1" applyBorder="1" applyProtection="1">
      <protection hidden="1"/>
    </xf>
    <xf numFmtId="0" fontId="44" fillId="2" borderId="0" xfId="0" applyFont="1" applyFill="1" applyBorder="1" applyProtection="1">
      <protection hidden="1"/>
    </xf>
    <xf numFmtId="0" fontId="43" fillId="2" borderId="0" xfId="0" applyFont="1" applyFill="1" applyBorder="1" applyProtection="1">
      <protection hidden="1"/>
    </xf>
    <xf numFmtId="4" fontId="44" fillId="2" borderId="16" xfId="0" applyNumberFormat="1" applyFont="1" applyFill="1" applyBorder="1" applyProtection="1">
      <protection locked="0"/>
    </xf>
    <xf numFmtId="0" fontId="44" fillId="2" borderId="15" xfId="0" applyFont="1" applyFill="1" applyBorder="1"/>
    <xf numFmtId="0" fontId="44" fillId="2" borderId="25" xfId="0" applyFont="1" applyFill="1" applyBorder="1" applyProtection="1">
      <protection hidden="1"/>
    </xf>
    <xf numFmtId="4" fontId="44" fillId="2" borderId="6" xfId="0" applyNumberFormat="1" applyFont="1" applyFill="1" applyBorder="1" applyProtection="1">
      <protection locked="0"/>
    </xf>
    <xf numFmtId="0" fontId="44" fillId="2" borderId="19" xfId="0" applyFont="1" applyFill="1" applyBorder="1"/>
    <xf numFmtId="0" fontId="44" fillId="2" borderId="27" xfId="0" applyFont="1" applyFill="1" applyBorder="1" applyProtection="1">
      <protection hidden="1"/>
    </xf>
    <xf numFmtId="0" fontId="43" fillId="0" borderId="0" xfId="0" applyFont="1" applyAlignment="1">
      <alignment horizontal="left"/>
    </xf>
    <xf numFmtId="0" fontId="44" fillId="0" borderId="0" xfId="0" applyFont="1" applyProtection="1">
      <protection hidden="1"/>
    </xf>
    <xf numFmtId="4" fontId="34" fillId="6" borderId="9" xfId="0" applyNumberFormat="1" applyFont="1" applyFill="1" applyBorder="1" applyProtection="1">
      <protection hidden="1"/>
    </xf>
    <xf numFmtId="10" fontId="34" fillId="6" borderId="11" xfId="0" applyNumberFormat="1" applyFont="1" applyFill="1" applyBorder="1" applyAlignment="1" applyProtection="1">
      <alignment horizontal="right"/>
      <protection hidden="1"/>
    </xf>
    <xf numFmtId="10" fontId="38" fillId="6" borderId="8" xfId="0" applyNumberFormat="1" applyFont="1" applyFill="1" applyBorder="1" applyAlignment="1" applyProtection="1">
      <alignment horizontal="right"/>
      <protection hidden="1"/>
    </xf>
    <xf numFmtId="4" fontId="34" fillId="6" borderId="16" xfId="0" applyNumberFormat="1" applyFont="1" applyFill="1" applyBorder="1" applyProtection="1">
      <protection hidden="1"/>
    </xf>
    <xf numFmtId="10" fontId="34" fillId="6" borderId="15" xfId="0" applyNumberFormat="1" applyFont="1" applyFill="1" applyBorder="1" applyAlignment="1" applyProtection="1">
      <alignment horizontal="right"/>
      <protection hidden="1"/>
    </xf>
    <xf numFmtId="10" fontId="38" fillId="6" borderId="25" xfId="0" applyNumberFormat="1" applyFont="1" applyFill="1" applyBorder="1" applyAlignment="1" applyProtection="1">
      <alignment horizontal="right"/>
      <protection hidden="1"/>
    </xf>
    <xf numFmtId="4" fontId="34" fillId="6" borderId="16" xfId="0" applyNumberFormat="1" applyFont="1" applyFill="1" applyBorder="1" applyProtection="1">
      <protection locked="0"/>
    </xf>
    <xf numFmtId="10" fontId="34" fillId="6" borderId="15" xfId="0" applyNumberFormat="1" applyFont="1" applyFill="1" applyBorder="1" applyAlignment="1">
      <alignment horizontal="right"/>
    </xf>
    <xf numFmtId="4" fontId="42" fillId="8" borderId="16" xfId="0" applyNumberFormat="1" applyFont="1" applyFill="1" applyBorder="1"/>
    <xf numFmtId="10" fontId="42" fillId="8" borderId="15" xfId="0" applyNumberFormat="1" applyFont="1" applyFill="1" applyBorder="1" applyAlignment="1">
      <alignment horizontal="right"/>
    </xf>
    <xf numFmtId="10" fontId="41" fillId="8" borderId="25" xfId="0" applyNumberFormat="1" applyFont="1" applyFill="1" applyBorder="1" applyAlignment="1" applyProtection="1">
      <alignment horizontal="right"/>
      <protection hidden="1"/>
    </xf>
    <xf numFmtId="4" fontId="34" fillId="6" borderId="16" xfId="0" applyNumberFormat="1" applyFont="1" applyFill="1" applyBorder="1"/>
    <xf numFmtId="4" fontId="34" fillId="8" borderId="29" xfId="0" applyNumberFormat="1" applyFont="1" applyFill="1" applyBorder="1" applyProtection="1">
      <protection hidden="1"/>
    </xf>
    <xf numFmtId="10" fontId="34" fillId="8" borderId="30" xfId="0" applyNumberFormat="1" applyFont="1" applyFill="1" applyBorder="1" applyAlignment="1" applyProtection="1">
      <alignment horizontal="right"/>
      <protection hidden="1"/>
    </xf>
    <xf numFmtId="10" fontId="38" fillId="8" borderId="28" xfId="0" applyNumberFormat="1" applyFont="1" applyFill="1" applyBorder="1" applyAlignment="1" applyProtection="1">
      <alignment horizontal="right"/>
      <protection hidden="1"/>
    </xf>
    <xf numFmtId="0" fontId="51" fillId="4" borderId="0" xfId="0" applyFont="1" applyFill="1" applyAlignment="1" applyProtection="1">
      <alignment horizontal="left"/>
      <protection hidden="1"/>
    </xf>
    <xf numFmtId="0" fontId="43" fillId="7" borderId="2" xfId="0" applyFont="1" applyFill="1" applyBorder="1" applyProtection="1">
      <protection hidden="1"/>
    </xf>
    <xf numFmtId="0" fontId="44" fillId="7" borderId="0" xfId="0" applyFont="1" applyFill="1" applyBorder="1" applyProtection="1">
      <protection hidden="1"/>
    </xf>
    <xf numFmtId="4" fontId="43" fillId="7" borderId="23" xfId="0" applyNumberFormat="1" applyFont="1" applyFill="1" applyBorder="1" applyProtection="1">
      <protection locked="0"/>
    </xf>
    <xf numFmtId="0" fontId="43" fillId="7" borderId="18" xfId="0" applyFont="1" applyFill="1" applyBorder="1"/>
    <xf numFmtId="0" fontId="44" fillId="7" borderId="26" xfId="0" applyFont="1" applyFill="1" applyBorder="1" applyProtection="1">
      <protection hidden="1"/>
    </xf>
    <xf numFmtId="4" fontId="6" fillId="6" borderId="9" xfId="0" applyNumberFormat="1" applyFont="1" applyFill="1" applyBorder="1"/>
    <xf numFmtId="10" fontId="6" fillId="6" borderId="11" xfId="0" applyNumberFormat="1" applyFont="1" applyFill="1" applyBorder="1"/>
    <xf numFmtId="10" fontId="10" fillId="6" borderId="8" xfId="0" applyNumberFormat="1" applyFont="1" applyFill="1" applyBorder="1" applyAlignment="1">
      <alignment horizontal="right"/>
    </xf>
    <xf numFmtId="4" fontId="6" fillId="8" borderId="1" xfId="0" applyNumberFormat="1" applyFont="1" applyFill="1" applyBorder="1"/>
    <xf numFmtId="10" fontId="6" fillId="8" borderId="2" xfId="0" applyNumberFormat="1" applyFont="1" applyFill="1" applyBorder="1"/>
    <xf numFmtId="10" fontId="10" fillId="8" borderId="0" xfId="0" applyNumberFormat="1" applyFont="1" applyFill="1" applyBorder="1" applyAlignment="1">
      <alignment horizontal="right"/>
    </xf>
    <xf numFmtId="4" fontId="52" fillId="8" borderId="1" xfId="0" applyNumberFormat="1" applyFont="1" applyFill="1" applyBorder="1"/>
    <xf numFmtId="10" fontId="52" fillId="8" borderId="2" xfId="0" applyNumberFormat="1" applyFont="1" applyFill="1" applyBorder="1"/>
    <xf numFmtId="10" fontId="52" fillId="8" borderId="0" xfId="0" applyNumberFormat="1" applyFont="1" applyFill="1" applyBorder="1" applyAlignment="1">
      <alignment horizontal="right"/>
    </xf>
    <xf numFmtId="4" fontId="6" fillId="6" borderId="7" xfId="0" applyNumberFormat="1" applyFont="1" applyFill="1" applyBorder="1"/>
    <xf numFmtId="10" fontId="6" fillId="6" borderId="12" xfId="0" applyNumberFormat="1" applyFont="1" applyFill="1" applyBorder="1"/>
    <xf numFmtId="10" fontId="10" fillId="6" borderId="10" xfId="0" applyNumberFormat="1" applyFont="1" applyFill="1" applyBorder="1" applyAlignment="1">
      <alignment horizontal="right"/>
    </xf>
    <xf numFmtId="4" fontId="2" fillId="6" borderId="7" xfId="0" applyNumberFormat="1" applyFont="1" applyFill="1" applyBorder="1"/>
    <xf numFmtId="10" fontId="2" fillId="6" borderId="12" xfId="0" applyNumberFormat="1" applyFont="1" applyFill="1" applyBorder="1"/>
    <xf numFmtId="4" fontId="2" fillId="6" borderId="6" xfId="0" applyNumberFormat="1" applyFont="1" applyFill="1" applyBorder="1"/>
    <xf numFmtId="10" fontId="2" fillId="6" borderId="19" xfId="0" applyNumberFormat="1" applyFont="1" applyFill="1" applyBorder="1"/>
    <xf numFmtId="4" fontId="13" fillId="8" borderId="7" xfId="0" applyNumberFormat="1" applyFont="1" applyFill="1" applyBorder="1"/>
    <xf numFmtId="10" fontId="13" fillId="8" borderId="12" xfId="0" applyNumberFormat="1" applyFont="1" applyFill="1" applyBorder="1"/>
    <xf numFmtId="10" fontId="12" fillId="8" borderId="10" xfId="0" applyNumberFormat="1" applyFont="1" applyFill="1" applyBorder="1" applyAlignment="1">
      <alignment horizontal="right"/>
    </xf>
    <xf numFmtId="4" fontId="2" fillId="8" borderId="1" xfId="0" applyNumberFormat="1" applyFont="1" applyFill="1" applyBorder="1"/>
    <xf numFmtId="10" fontId="4" fillId="8" borderId="2" xfId="0" applyNumberFormat="1" applyFont="1" applyFill="1" applyBorder="1"/>
    <xf numFmtId="10" fontId="8" fillId="8" borderId="0" xfId="0" applyNumberFormat="1" applyFont="1" applyFill="1" applyBorder="1" applyAlignment="1">
      <alignment horizontal="right"/>
    </xf>
    <xf numFmtId="4" fontId="43" fillId="7" borderId="1" xfId="0" applyNumberFormat="1" applyFont="1" applyFill="1" applyBorder="1" applyProtection="1">
      <protection locked="0"/>
    </xf>
    <xf numFmtId="0" fontId="42" fillId="2" borderId="18" xfId="0" applyFont="1" applyFill="1" applyBorder="1" applyProtection="1">
      <protection hidden="1"/>
    </xf>
    <xf numFmtId="0" fontId="41" fillId="2" borderId="26" xfId="0" applyFont="1" applyFill="1" applyBorder="1" applyProtection="1">
      <protection hidden="1"/>
    </xf>
    <xf numFmtId="4" fontId="53" fillId="2" borderId="1" xfId="0" applyNumberFormat="1" applyFont="1" applyFill="1" applyBorder="1" applyProtection="1">
      <protection locked="0"/>
    </xf>
    <xf numFmtId="10" fontId="53" fillId="2" borderId="2" xfId="0" applyNumberFormat="1" applyFont="1" applyFill="1" applyBorder="1" applyAlignment="1">
      <alignment horizontal="right"/>
    </xf>
    <xf numFmtId="10" fontId="48" fillId="2" borderId="0" xfId="0" applyNumberFormat="1" applyFont="1" applyFill="1" applyBorder="1" applyAlignment="1" applyProtection="1">
      <alignment horizontal="right"/>
      <protection hidden="1"/>
    </xf>
    <xf numFmtId="0" fontId="53" fillId="0" borderId="0" xfId="0" applyFont="1"/>
    <xf numFmtId="4" fontId="54" fillId="2" borderId="1" xfId="0" applyNumberFormat="1" applyFont="1" applyFill="1" applyBorder="1" applyProtection="1">
      <protection locked="0"/>
    </xf>
    <xf numFmtId="0" fontId="55" fillId="2" borderId="2" xfId="0" applyFont="1" applyFill="1" applyBorder="1" applyProtection="1">
      <protection hidden="1"/>
    </xf>
    <xf numFmtId="0" fontId="55" fillId="2" borderId="0" xfId="0" applyFont="1" applyFill="1" applyBorder="1" applyProtection="1">
      <protection hidden="1"/>
    </xf>
    <xf numFmtId="0" fontId="55" fillId="2" borderId="1" xfId="0" applyFont="1" applyFill="1" applyBorder="1" applyProtection="1">
      <protection hidden="1"/>
    </xf>
    <xf numFmtId="1" fontId="42" fillId="8" borderId="14" xfId="0" applyNumberFormat="1" applyFont="1" applyFill="1" applyBorder="1" applyAlignment="1" applyProtection="1">
      <protection locked="0" hidden="1"/>
    </xf>
    <xf numFmtId="4" fontId="42" fillId="2" borderId="23" xfId="0" applyNumberFormat="1" applyFont="1" applyFill="1" applyBorder="1" applyProtection="1"/>
    <xf numFmtId="0" fontId="6" fillId="5" borderId="0" xfId="0" applyFont="1" applyFill="1" applyAlignment="1" applyProtection="1">
      <alignment horizontal="left"/>
      <protection hidden="1"/>
    </xf>
    <xf numFmtId="0" fontId="33" fillId="2" borderId="0" xfId="0" applyFont="1" applyFill="1" applyAlignment="1" applyProtection="1">
      <alignment horizontal="right"/>
    </xf>
    <xf numFmtId="0" fontId="33" fillId="2" borderId="0" xfId="0" applyFont="1" applyFill="1" applyBorder="1" applyAlignment="1" applyProtection="1">
      <alignment horizontal="right"/>
    </xf>
    <xf numFmtId="4" fontId="33" fillId="2" borderId="1" xfId="0" applyNumberFormat="1" applyFont="1" applyFill="1" applyBorder="1" applyProtection="1"/>
    <xf numFmtId="10" fontId="22" fillId="2" borderId="2" xfId="0" applyNumberFormat="1" applyFont="1" applyFill="1" applyBorder="1" applyProtection="1"/>
    <xf numFmtId="10" fontId="9" fillId="2" borderId="0" xfId="0" applyNumberFormat="1" applyFont="1" applyFill="1" applyBorder="1" applyAlignment="1" applyProtection="1">
      <alignment horizontal="right"/>
    </xf>
    <xf numFmtId="0" fontId="24" fillId="0" borderId="0" xfId="0" applyFont="1" applyBorder="1" applyProtection="1"/>
    <xf numFmtId="0" fontId="24" fillId="0" borderId="0" xfId="0" applyFont="1" applyProtection="1"/>
    <xf numFmtId="4" fontId="4" fillId="2" borderId="16" xfId="0" applyNumberFormat="1" applyFont="1" applyFill="1" applyBorder="1" applyProtection="1">
      <protection locked="0"/>
    </xf>
    <xf numFmtId="4" fontId="4" fillId="2" borderId="23" xfId="0" applyNumberFormat="1" applyFont="1" applyFill="1" applyBorder="1" applyProtection="1">
      <protection locked="0"/>
    </xf>
    <xf numFmtId="0" fontId="40" fillId="2" borderId="0" xfId="0" applyFont="1" applyFill="1" applyAlignment="1" applyProtection="1">
      <alignment horizontal="left"/>
      <protection hidden="1"/>
    </xf>
    <xf numFmtId="0" fontId="40" fillId="2" borderId="0" xfId="0" applyFont="1" applyFill="1" applyBorder="1" applyAlignment="1" applyProtection="1">
      <alignment horizontal="left"/>
      <protection hidden="1"/>
    </xf>
    <xf numFmtId="0" fontId="40" fillId="2" borderId="0" xfId="0" applyFont="1" applyFill="1" applyAlignment="1">
      <alignment horizontal="left"/>
    </xf>
    <xf numFmtId="0" fontId="39" fillId="2" borderId="0" xfId="0" applyFont="1" applyFill="1" applyAlignment="1">
      <alignment horizontal="left"/>
    </xf>
    <xf numFmtId="0" fontId="39" fillId="2" borderId="0" xfId="0" applyFont="1" applyFill="1" applyBorder="1" applyAlignment="1">
      <alignment horizontal="left"/>
    </xf>
    <xf numFmtId="0" fontId="44" fillId="2" borderId="22" xfId="0" applyFont="1" applyFill="1" applyBorder="1" applyAlignment="1">
      <alignment horizontal="right"/>
    </xf>
    <xf numFmtId="0" fontId="44" fillId="2" borderId="21" xfId="0" applyFont="1" applyFill="1" applyBorder="1" applyAlignment="1">
      <alignment horizontal="right"/>
    </xf>
    <xf numFmtId="0" fontId="34" fillId="8" borderId="28" xfId="0" applyFont="1" applyFill="1" applyBorder="1" applyAlignment="1" applyProtection="1">
      <alignment horizontal="left"/>
      <protection hidden="1"/>
    </xf>
    <xf numFmtId="0" fontId="34" fillId="6" borderId="31" xfId="0" applyFont="1" applyFill="1" applyBorder="1" applyAlignment="1" applyProtection="1">
      <alignment horizontal="left"/>
      <protection hidden="1"/>
    </xf>
    <xf numFmtId="0" fontId="34" fillId="6" borderId="25" xfId="0" applyFont="1" applyFill="1" applyBorder="1" applyAlignment="1" applyProtection="1">
      <alignment horizontal="left"/>
      <protection hidden="1"/>
    </xf>
    <xf numFmtId="0" fontId="43" fillId="2" borderId="25" xfId="0" applyFont="1" applyFill="1" applyBorder="1" applyAlignment="1" applyProtection="1">
      <alignment horizontal="left"/>
      <protection hidden="1"/>
    </xf>
    <xf numFmtId="0" fontId="43" fillId="2" borderId="15" xfId="0" applyFont="1" applyFill="1" applyBorder="1" applyAlignment="1" applyProtection="1">
      <alignment horizontal="left"/>
      <protection hidden="1"/>
    </xf>
    <xf numFmtId="0" fontId="43" fillId="2" borderId="0" xfId="0" applyFont="1" applyFill="1" applyBorder="1" applyAlignment="1" applyProtection="1">
      <alignment horizontal="left"/>
      <protection hidden="1"/>
    </xf>
    <xf numFmtId="0" fontId="43" fillId="7" borderId="20" xfId="0" applyFont="1" applyFill="1" applyBorder="1" applyAlignment="1">
      <alignment horizontal="right"/>
    </xf>
    <xf numFmtId="0" fontId="43" fillId="7" borderId="0" xfId="0" applyFont="1" applyFill="1" applyBorder="1" applyAlignment="1">
      <alignment horizontal="right"/>
    </xf>
    <xf numFmtId="0" fontId="40" fillId="2" borderId="0" xfId="0" applyFont="1" applyFill="1" applyBorder="1" applyAlignment="1">
      <alignment horizontal="left"/>
    </xf>
    <xf numFmtId="0" fontId="43" fillId="2" borderId="0" xfId="0" applyFont="1" applyFill="1" applyAlignment="1" applyProtection="1">
      <alignment horizontal="left"/>
      <protection hidden="1"/>
    </xf>
    <xf numFmtId="0" fontId="42" fillId="2" borderId="20" xfId="0" applyFont="1" applyFill="1" applyBorder="1" applyAlignment="1" applyProtection="1">
      <alignment horizontal="right"/>
      <protection hidden="1"/>
    </xf>
    <xf numFmtId="0" fontId="42" fillId="2" borderId="0" xfId="0" applyFont="1" applyFill="1" applyBorder="1" applyAlignment="1" applyProtection="1">
      <alignment horizontal="right"/>
      <protection hidden="1"/>
    </xf>
    <xf numFmtId="0" fontId="44" fillId="2" borderId="20" xfId="0" applyFont="1" applyFill="1" applyBorder="1" applyAlignment="1">
      <alignment horizontal="right"/>
    </xf>
    <xf numFmtId="0" fontId="44" fillId="2" borderId="0" xfId="0" applyFont="1" applyFill="1" applyBorder="1" applyAlignment="1">
      <alignment horizontal="right"/>
    </xf>
    <xf numFmtId="0" fontId="34" fillId="6" borderId="31" xfId="0" applyFont="1" applyFill="1" applyBorder="1" applyAlignment="1">
      <alignment horizontal="left"/>
    </xf>
    <xf numFmtId="0" fontId="34" fillId="6" borderId="25" xfId="0" applyFont="1" applyFill="1" applyBorder="1" applyAlignment="1">
      <alignment horizontal="left"/>
    </xf>
    <xf numFmtId="0" fontId="43" fillId="2" borderId="0" xfId="0" applyFont="1" applyFill="1" applyAlignment="1" applyProtection="1">
      <alignment horizontal="center"/>
      <protection hidden="1"/>
    </xf>
    <xf numFmtId="0" fontId="43" fillId="2" borderId="27" xfId="0" applyFont="1" applyFill="1" applyBorder="1" applyAlignment="1" applyProtection="1">
      <alignment horizontal="center"/>
      <protection hidden="1"/>
    </xf>
    <xf numFmtId="0" fontId="43" fillId="2" borderId="17" xfId="0" applyFont="1" applyFill="1" applyBorder="1" applyAlignment="1" applyProtection="1">
      <alignment horizontal="center"/>
      <protection hidden="1"/>
    </xf>
    <xf numFmtId="166" fontId="34" fillId="8" borderId="31" xfId="1" applyFont="1" applyFill="1" applyBorder="1" applyAlignment="1">
      <alignment horizontal="left"/>
    </xf>
    <xf numFmtId="166" fontId="34" fillId="8" borderId="25" xfId="1" applyFont="1" applyFill="1" applyBorder="1" applyAlignment="1">
      <alignment horizontal="left"/>
    </xf>
    <xf numFmtId="0" fontId="43" fillId="2" borderId="0" xfId="0" applyFont="1" applyFill="1" applyBorder="1" applyAlignment="1">
      <alignment horizontal="left"/>
    </xf>
    <xf numFmtId="0" fontId="43" fillId="2" borderId="26" xfId="0" applyFont="1" applyFill="1" applyBorder="1" applyAlignment="1">
      <alignment horizontal="left"/>
    </xf>
    <xf numFmtId="0" fontId="43" fillId="2" borderId="31" xfId="0" applyFont="1" applyFill="1" applyBorder="1" applyAlignment="1">
      <alignment horizontal="left"/>
    </xf>
    <xf numFmtId="0" fontId="43" fillId="2" borderId="25" xfId="0" applyFont="1" applyFill="1" applyBorder="1" applyAlignment="1">
      <alignment horizontal="left"/>
    </xf>
    <xf numFmtId="0" fontId="43" fillId="2" borderId="35" xfId="0" applyFont="1" applyFill="1" applyBorder="1" applyAlignment="1">
      <alignment horizontal="left"/>
    </xf>
    <xf numFmtId="0" fontId="43" fillId="2" borderId="27" xfId="0" applyFont="1" applyFill="1" applyBorder="1" applyAlignment="1">
      <alignment horizontal="left"/>
    </xf>
    <xf numFmtId="0" fontId="34" fillId="6" borderId="15" xfId="0" applyFont="1" applyFill="1" applyBorder="1" applyAlignment="1" applyProtection="1">
      <alignment horizontal="left"/>
      <protection hidden="1"/>
    </xf>
    <xf numFmtId="0" fontId="43" fillId="2" borderId="0" xfId="0" applyFont="1" applyFill="1" applyAlignment="1">
      <alignment horizontal="left"/>
    </xf>
    <xf numFmtId="0" fontId="48" fillId="6" borderId="0" xfId="0" applyFont="1" applyFill="1" applyBorder="1" applyAlignment="1">
      <alignment horizontal="left" vertical="top" wrapText="1"/>
    </xf>
    <xf numFmtId="0" fontId="48" fillId="6" borderId="2" xfId="0" applyFont="1" applyFill="1" applyBorder="1" applyAlignment="1">
      <alignment horizontal="left" vertical="top" wrapText="1"/>
    </xf>
    <xf numFmtId="0" fontId="39" fillId="0" borderId="0" xfId="0" applyFont="1" applyBorder="1" applyAlignment="1" applyProtection="1">
      <alignment horizontal="center" wrapText="1"/>
      <protection hidden="1"/>
    </xf>
    <xf numFmtId="1" fontId="42" fillId="0" borderId="4" xfId="0" applyNumberFormat="1" applyFont="1" applyBorder="1" applyAlignment="1" applyProtection="1">
      <alignment horizontal="center"/>
      <protection hidden="1"/>
    </xf>
    <xf numFmtId="1" fontId="42" fillId="0" borderId="32" xfId="0" applyNumberFormat="1" applyFont="1" applyBorder="1" applyAlignment="1" applyProtection="1">
      <alignment horizontal="center"/>
      <protection hidden="1"/>
    </xf>
    <xf numFmtId="0" fontId="43" fillId="2" borderId="31" xfId="0" applyFont="1" applyFill="1" applyBorder="1" applyAlignment="1" applyProtection="1">
      <alignment horizontal="left"/>
      <protection hidden="1"/>
    </xf>
    <xf numFmtId="0" fontId="40" fillId="2" borderId="0" xfId="0" applyFont="1" applyFill="1" applyAlignment="1"/>
    <xf numFmtId="0" fontId="40" fillId="2" borderId="0" xfId="0" applyFont="1" applyFill="1" applyBorder="1" applyAlignment="1"/>
    <xf numFmtId="14" fontId="42" fillId="0" borderId="33" xfId="0" applyNumberFormat="1" applyFont="1" applyBorder="1" applyAlignment="1" applyProtection="1">
      <alignment horizontal="center"/>
      <protection locked="0"/>
    </xf>
    <xf numFmtId="14" fontId="42" fillId="0" borderId="34" xfId="0" applyNumberFormat="1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hidden="1"/>
    </xf>
    <xf numFmtId="0" fontId="43" fillId="0" borderId="0" xfId="0" applyFont="1" applyBorder="1" applyAlignment="1" applyProtection="1">
      <alignment horizontal="right"/>
      <protection hidden="1"/>
    </xf>
    <xf numFmtId="49" fontId="35" fillId="6" borderId="0" xfId="0" applyNumberFormat="1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43" fillId="2" borderId="1" xfId="0" applyFont="1" applyFill="1" applyBorder="1" applyAlignment="1" applyProtection="1">
      <alignment horizontal="right"/>
      <protection hidden="1"/>
    </xf>
    <xf numFmtId="49" fontId="39" fillId="2" borderId="0" xfId="0" applyNumberFormat="1" applyFont="1" applyFill="1" applyBorder="1" applyAlignment="1" applyProtection="1">
      <alignment horizontal="left"/>
      <protection hidden="1"/>
    </xf>
    <xf numFmtId="49" fontId="39" fillId="2" borderId="2" xfId="0" applyNumberFormat="1" applyFont="1" applyFill="1" applyBorder="1" applyAlignment="1" applyProtection="1">
      <alignment horizontal="left"/>
      <protection hidden="1"/>
    </xf>
    <xf numFmtId="0" fontId="36" fillId="8" borderId="4" xfId="0" applyFont="1" applyFill="1" applyBorder="1" applyAlignment="1">
      <alignment horizontal="center" vertical="center" shrinkToFit="1"/>
    </xf>
    <xf numFmtId="0" fontId="36" fillId="8" borderId="5" xfId="0" applyFont="1" applyFill="1" applyBorder="1" applyAlignment="1">
      <alignment horizontal="center" vertical="center" shrinkToFit="1"/>
    </xf>
    <xf numFmtId="0" fontId="36" fillId="8" borderId="32" xfId="0" applyFont="1" applyFill="1" applyBorder="1" applyAlignment="1">
      <alignment horizontal="center" vertical="center" shrinkToFit="1"/>
    </xf>
    <xf numFmtId="0" fontId="36" fillId="8" borderId="6" xfId="0" applyFont="1" applyFill="1" applyBorder="1" applyAlignment="1">
      <alignment horizontal="center" vertical="center" shrinkToFit="1"/>
    </xf>
    <xf numFmtId="0" fontId="36" fillId="8" borderId="3" xfId="0" applyFont="1" applyFill="1" applyBorder="1" applyAlignment="1">
      <alignment horizontal="center" vertical="center" shrinkToFit="1"/>
    </xf>
    <xf numFmtId="0" fontId="36" fillId="8" borderId="19" xfId="0" applyFont="1" applyFill="1" applyBorder="1" applyAlignment="1">
      <alignment horizontal="center" vertical="center" shrinkToFit="1"/>
    </xf>
    <xf numFmtId="0" fontId="48" fillId="2" borderId="0" xfId="0" applyFont="1" applyFill="1" applyAlignment="1">
      <alignment horizontal="left"/>
    </xf>
    <xf numFmtId="0" fontId="48" fillId="2" borderId="0" xfId="0" applyFont="1" applyFill="1" applyBorder="1" applyAlignment="1">
      <alignment horizontal="left"/>
    </xf>
    <xf numFmtId="0" fontId="43" fillId="2" borderId="0" xfId="0" applyFont="1" applyFill="1" applyAlignment="1" applyProtection="1">
      <alignment horizontal="right"/>
      <protection hidden="1"/>
    </xf>
    <xf numFmtId="14" fontId="42" fillId="8" borderId="33" xfId="0" applyNumberFormat="1" applyFont="1" applyFill="1" applyBorder="1" applyAlignment="1" applyProtection="1">
      <alignment horizontal="center"/>
      <protection locked="0"/>
    </xf>
    <xf numFmtId="14" fontId="42" fillId="8" borderId="34" xfId="0" applyNumberFormat="1" applyFont="1" applyFill="1" applyBorder="1" applyAlignment="1" applyProtection="1">
      <alignment horizontal="center"/>
      <protection locked="0"/>
    </xf>
    <xf numFmtId="0" fontId="34" fillId="6" borderId="0" xfId="0" applyFont="1" applyFill="1" applyAlignment="1" applyProtection="1">
      <alignment horizontal="left"/>
      <protection hidden="1"/>
    </xf>
    <xf numFmtId="0" fontId="34" fillId="6" borderId="0" xfId="0" applyFont="1" applyFill="1" applyBorder="1" applyAlignment="1" applyProtection="1">
      <alignment horizontal="left"/>
      <protection hidden="1"/>
    </xf>
    <xf numFmtId="0" fontId="13" fillId="8" borderId="10" xfId="0" applyFont="1" applyFill="1" applyBorder="1" applyAlignment="1">
      <alignment horizontal="left"/>
    </xf>
    <xf numFmtId="166" fontId="2" fillId="6" borderId="10" xfId="1" applyFont="1" applyFill="1" applyBorder="1" applyAlignment="1">
      <alignment horizontal="right"/>
    </xf>
    <xf numFmtId="166" fontId="2" fillId="6" borderId="10" xfId="1" applyFont="1" applyFill="1" applyBorder="1" applyAlignment="1">
      <alignment horizontal="left"/>
    </xf>
    <xf numFmtId="0" fontId="9" fillId="2" borderId="0" xfId="0" applyFont="1" applyFill="1" applyAlignment="1">
      <alignment horizontal="left" wrapText="1"/>
    </xf>
    <xf numFmtId="0" fontId="9" fillId="2" borderId="0" xfId="0" applyFont="1" applyFill="1" applyBorder="1" applyAlignment="1">
      <alignment horizontal="left" wrapText="1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4" fontId="5" fillId="0" borderId="36" xfId="0" applyNumberFormat="1" applyFont="1" applyBorder="1" applyAlignment="1">
      <alignment horizontal="center"/>
    </xf>
    <xf numFmtId="14" fontId="5" fillId="0" borderId="37" xfId="0" applyNumberFormat="1" applyFont="1" applyBorder="1" applyAlignment="1">
      <alignment horizontal="center"/>
    </xf>
    <xf numFmtId="0" fontId="24" fillId="2" borderId="0" xfId="0" applyFont="1" applyFill="1" applyAlignment="1">
      <alignment horizontal="left"/>
    </xf>
    <xf numFmtId="0" fontId="24" fillId="2" borderId="0" xfId="0" applyFont="1" applyFill="1" applyBorder="1" applyAlignment="1">
      <alignment horizontal="left"/>
    </xf>
    <xf numFmtId="0" fontId="4" fillId="2" borderId="0" xfId="0" applyFont="1" applyFill="1" applyAlignment="1"/>
    <xf numFmtId="0" fontId="4" fillId="2" borderId="0" xfId="0" applyFont="1" applyFill="1" applyBorder="1" applyAlignment="1"/>
    <xf numFmtId="0" fontId="5" fillId="2" borderId="0" xfId="0" applyFont="1" applyFill="1" applyAlignment="1"/>
    <xf numFmtId="0" fontId="5" fillId="2" borderId="0" xfId="0" applyFont="1" applyFill="1" applyBorder="1" applyAlignment="1"/>
    <xf numFmtId="0" fontId="9" fillId="2" borderId="0" xfId="0" applyFont="1" applyFill="1" applyAlignment="1">
      <alignment horizontal="right"/>
    </xf>
    <xf numFmtId="0" fontId="9" fillId="2" borderId="0" xfId="0" applyFont="1" applyFill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1" fillId="2" borderId="0" xfId="0" applyFont="1" applyFill="1" applyBorder="1" applyAlignment="1">
      <alignment horizontal="right"/>
    </xf>
    <xf numFmtId="0" fontId="3" fillId="2" borderId="0" xfId="0" applyFont="1" applyFill="1" applyAlignment="1">
      <alignment horizontal="right" wrapText="1"/>
    </xf>
    <xf numFmtId="0" fontId="3" fillId="2" borderId="0" xfId="0" applyFont="1" applyFill="1" applyBorder="1" applyAlignment="1">
      <alignment horizontal="right" wrapText="1"/>
    </xf>
    <xf numFmtId="0" fontId="13" fillId="8" borderId="0" xfId="0" applyFont="1" applyFill="1" applyAlignment="1">
      <alignment horizontal="left"/>
    </xf>
    <xf numFmtId="0" fontId="13" fillId="8" borderId="0" xfId="0" applyFont="1" applyFill="1" applyBorder="1" applyAlignment="1">
      <alignment horizontal="left"/>
    </xf>
    <xf numFmtId="0" fontId="13" fillId="2" borderId="0" xfId="0" applyFont="1" applyFill="1" applyAlignment="1"/>
    <xf numFmtId="0" fontId="13" fillId="2" borderId="0" xfId="0" applyFont="1" applyFill="1" applyBorder="1" applyAlignment="1"/>
    <xf numFmtId="0" fontId="6" fillId="8" borderId="0" xfId="0" applyFont="1" applyFill="1" applyAlignment="1">
      <alignment horizontal="left"/>
    </xf>
    <xf numFmtId="0" fontId="6" fillId="8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2" borderId="0" xfId="0" applyFont="1" applyFill="1" applyBorder="1" applyAlignment="1">
      <alignment horizontal="left" wrapText="1"/>
    </xf>
    <xf numFmtId="0" fontId="4" fillId="2" borderId="0" xfId="0" applyFont="1" applyFill="1" applyAlignment="1">
      <alignment horizontal="left"/>
    </xf>
    <xf numFmtId="0" fontId="6" fillId="6" borderId="10" xfId="0" applyFont="1" applyFill="1" applyBorder="1" applyAlignment="1">
      <alignment horizontal="left"/>
    </xf>
    <xf numFmtId="0" fontId="3" fillId="2" borderId="0" xfId="0" applyFont="1" applyFill="1" applyAlignment="1">
      <alignment horizontal="right"/>
    </xf>
    <xf numFmtId="0" fontId="3" fillId="2" borderId="0" xfId="0" applyFont="1" applyFill="1" applyBorder="1" applyAlignment="1">
      <alignment horizontal="right"/>
    </xf>
    <xf numFmtId="0" fontId="52" fillId="8" borderId="0" xfId="0" applyFont="1" applyFill="1" applyAlignment="1">
      <alignment horizontal="left"/>
    </xf>
    <xf numFmtId="0" fontId="33" fillId="2" borderId="0" xfId="0" applyFont="1" applyFill="1" applyAlignment="1">
      <alignment horizontal="right"/>
    </xf>
    <xf numFmtId="0" fontId="33" fillId="2" borderId="0" xfId="0" applyFont="1" applyFill="1" applyBorder="1" applyAlignment="1">
      <alignment horizontal="right"/>
    </xf>
    <xf numFmtId="0" fontId="54" fillId="2" borderId="0" xfId="0" applyFont="1" applyFill="1" applyAlignment="1">
      <alignment horizontal="right"/>
    </xf>
    <xf numFmtId="0" fontId="54" fillId="2" borderId="0" xfId="0" applyFont="1" applyFill="1" applyBorder="1" applyAlignment="1">
      <alignment horizontal="right"/>
    </xf>
    <xf numFmtId="0" fontId="52" fillId="8" borderId="0" xfId="0" applyFont="1" applyFill="1" applyBorder="1" applyAlignment="1">
      <alignment horizontal="left"/>
    </xf>
    <xf numFmtId="0" fontId="6" fillId="6" borderId="0" xfId="0" applyFont="1" applyFill="1" applyAlignment="1">
      <alignment horizontal="left"/>
    </xf>
    <xf numFmtId="0" fontId="6" fillId="6" borderId="0" xfId="0" applyFont="1" applyFill="1" applyBorder="1" applyAlignment="1">
      <alignment horizontal="left"/>
    </xf>
    <xf numFmtId="0" fontId="24" fillId="2" borderId="0" xfId="0" applyFont="1" applyFill="1" applyAlignment="1">
      <alignment horizontal="left" wrapText="1"/>
    </xf>
    <xf numFmtId="0" fontId="24" fillId="2" borderId="0" xfId="0" applyFont="1" applyFill="1" applyBorder="1" applyAlignment="1">
      <alignment horizontal="left" wrapText="1"/>
    </xf>
    <xf numFmtId="0" fontId="17" fillId="8" borderId="4" xfId="0" applyFont="1" applyFill="1" applyBorder="1" applyAlignment="1">
      <alignment horizontal="center" vertical="center" shrinkToFit="1"/>
    </xf>
    <xf numFmtId="0" fontId="17" fillId="8" borderId="5" xfId="0" applyFont="1" applyFill="1" applyBorder="1" applyAlignment="1">
      <alignment horizontal="center" vertical="center" shrinkToFit="1"/>
    </xf>
    <xf numFmtId="0" fontId="17" fillId="8" borderId="32" xfId="0" applyFont="1" applyFill="1" applyBorder="1" applyAlignment="1">
      <alignment horizontal="center" vertical="center" shrinkToFit="1"/>
    </xf>
    <xf numFmtId="0" fontId="17" fillId="8" borderId="6" xfId="0" applyFont="1" applyFill="1" applyBorder="1" applyAlignment="1">
      <alignment horizontal="center" vertical="center" shrinkToFit="1"/>
    </xf>
    <xf numFmtId="0" fontId="17" fillId="8" borderId="3" xfId="0" applyFont="1" applyFill="1" applyBorder="1" applyAlignment="1">
      <alignment horizontal="center" vertical="center" shrinkToFit="1"/>
    </xf>
    <xf numFmtId="0" fontId="17" fillId="8" borderId="19" xfId="0" applyFont="1" applyFill="1" applyBorder="1" applyAlignment="1">
      <alignment horizontal="center" vertical="center" shrinkToFit="1"/>
    </xf>
    <xf numFmtId="0" fontId="4" fillId="2" borderId="0" xfId="0" applyFont="1" applyFill="1" applyAlignment="1">
      <alignment horizontal="right"/>
    </xf>
    <xf numFmtId="0" fontId="9" fillId="0" borderId="0" xfId="0" applyFont="1" applyBorder="1" applyAlignment="1">
      <alignment horizontal="center" wrapText="1"/>
    </xf>
    <xf numFmtId="0" fontId="9" fillId="0" borderId="21" xfId="0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right"/>
    </xf>
    <xf numFmtId="1" fontId="5" fillId="0" borderId="38" xfId="0" applyNumberFormat="1" applyFont="1" applyBorder="1" applyAlignment="1">
      <alignment horizontal="center"/>
    </xf>
    <xf numFmtId="1" fontId="5" fillId="0" borderId="39" xfId="0" applyNumberFormat="1" applyFont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</cellXfs>
  <cellStyles count="11">
    <cellStyle name="Currency" xfId="1" builtinId="4"/>
    <cellStyle name="Dezimal [0]_ADP 1999" xfId="2"/>
    <cellStyle name="Dezimal_ADP 1999" xfId="3"/>
    <cellStyle name="Milliers [0]_CAF_Lisboa_Form" xfId="4"/>
    <cellStyle name="Milliers_CAF_Lisboa_Form" xfId="5"/>
    <cellStyle name="Monétaire [0]_CAF_Lisboa_Form" xfId="6"/>
    <cellStyle name="Monétaire_CAF_Lisboa_Form" xfId="7"/>
    <cellStyle name="Normal" xfId="0" builtinId="0"/>
    <cellStyle name="Standard_ADP 1999" xfId="8"/>
    <cellStyle name="Währung [0]_ADP 1999" xfId="9"/>
    <cellStyle name="Währung_ADP 1999" xfId="10"/>
  </cellStyles>
  <dxfs count="4">
    <dxf>
      <font>
        <condense val="0"/>
        <extend val="0"/>
        <color indexed="10"/>
      </font>
    </dxf>
    <dxf>
      <font>
        <condense val="0"/>
        <extend val="0"/>
        <color indexed="10"/>
      </font>
      <fill>
        <patternFill patternType="solid">
          <bgColor indexed="22"/>
        </patternFill>
      </fill>
    </dxf>
    <dxf>
      <font>
        <condense val="0"/>
        <extend val="0"/>
        <color indexed="11"/>
      </font>
      <fill>
        <patternFill patternType="solid">
          <bgColor indexed="22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476250</xdr:colOff>
      <xdr:row>0</xdr:row>
      <xdr:rowOff>19050</xdr:rowOff>
    </xdr:from>
    <xdr:to>
      <xdr:col>17</xdr:col>
      <xdr:colOff>0</xdr:colOff>
      <xdr:row>2</xdr:row>
      <xdr:rowOff>57150</xdr:rowOff>
    </xdr:to>
    <xdr:pic>
      <xdr:nvPicPr>
        <xdr:cNvPr id="2059" name="Picture 11" descr="ALD10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782425" y="19050"/>
          <a:ext cx="13335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428625</xdr:colOff>
      <xdr:row>0</xdr:row>
      <xdr:rowOff>0</xdr:rowOff>
    </xdr:from>
    <xdr:to>
      <xdr:col>16</xdr:col>
      <xdr:colOff>657225</xdr:colOff>
      <xdr:row>2</xdr:row>
      <xdr:rowOff>28575</xdr:rowOff>
    </xdr:to>
    <xdr:pic>
      <xdr:nvPicPr>
        <xdr:cNvPr id="3075" name="Picture 3" descr="ALD10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0"/>
          <a:ext cx="13335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9"/>
  <sheetViews>
    <sheetView tabSelected="1" view="pageBreakPreview" zoomScale="85" zoomScaleNormal="100" zoomScaleSheetLayoutView="85" workbookViewId="0">
      <pane xSplit="3" ySplit="2" topLeftCell="D3" activePane="bottomRight" state="frozen"/>
      <selection activeCell="B10" sqref="B10"/>
      <selection pane="topRight" activeCell="B10" sqref="B10"/>
      <selection pane="bottomLeft" activeCell="B10" sqref="B10"/>
      <selection pane="bottomRight" activeCell="D4" sqref="D4:E4"/>
    </sheetView>
  </sheetViews>
  <sheetFormatPr defaultRowHeight="12" x14ac:dyDescent="0.2"/>
  <cols>
    <col min="1" max="1" width="9.140625" style="159"/>
    <col min="2" max="2" width="9.140625" style="72"/>
    <col min="3" max="3" width="12.140625" style="72" customWidth="1"/>
    <col min="4" max="4" width="14.140625" style="72" customWidth="1"/>
    <col min="5" max="5" width="10.85546875" style="72" bestFit="1" customWidth="1"/>
    <col min="6" max="6" width="9.28515625" style="160" bestFit="1" customWidth="1"/>
    <col min="7" max="7" width="15" style="72" bestFit="1" customWidth="1"/>
    <col min="8" max="8" width="10.85546875" style="72" bestFit="1" customWidth="1"/>
    <col min="9" max="9" width="9.140625" style="160"/>
    <col min="10" max="10" width="15" style="72" bestFit="1" customWidth="1"/>
    <col min="11" max="11" width="10.85546875" style="72" bestFit="1" customWidth="1"/>
    <col min="12" max="12" width="9.140625" style="160"/>
    <col min="13" max="13" width="14.85546875" style="72" customWidth="1"/>
    <col min="14" max="14" width="10.85546875" style="72" bestFit="1" customWidth="1"/>
    <col min="15" max="15" width="9.140625" style="160"/>
    <col min="16" max="16" width="16.28515625" style="72" customWidth="1"/>
    <col min="17" max="17" width="10.85546875" style="72" bestFit="1" customWidth="1"/>
    <col min="18" max="16384" width="9.140625" style="72"/>
  </cols>
  <sheetData>
    <row r="1" spans="1:17" ht="12.75" customHeight="1" x14ac:dyDescent="0.2">
      <c r="A1" s="280" t="e">
        <f>IF(#REF!="","",#REF!)</f>
        <v>#REF!</v>
      </c>
      <c r="B1" s="281"/>
      <c r="C1" s="281"/>
      <c r="D1" s="281"/>
      <c r="E1" s="282"/>
      <c r="F1" s="277" t="s">
        <v>108</v>
      </c>
      <c r="G1" s="275" t="e">
        <f>#REF!</f>
        <v>#REF!</v>
      </c>
      <c r="H1" s="70"/>
      <c r="I1" s="71"/>
      <c r="J1" s="70"/>
      <c r="K1" s="70"/>
      <c r="L1" s="71"/>
      <c r="M1" s="70"/>
      <c r="N1" s="70"/>
      <c r="O1" s="71"/>
      <c r="P1" s="70"/>
      <c r="Q1" s="70"/>
    </row>
    <row r="2" spans="1:17" ht="12.75" customHeight="1" thickBot="1" x14ac:dyDescent="0.25">
      <c r="A2" s="283"/>
      <c r="B2" s="284"/>
      <c r="C2" s="284"/>
      <c r="D2" s="284"/>
      <c r="E2" s="285"/>
      <c r="F2" s="277"/>
      <c r="G2" s="276"/>
      <c r="H2" s="70"/>
      <c r="I2" s="71"/>
      <c r="J2" s="70"/>
      <c r="K2" s="70"/>
      <c r="L2" s="71"/>
      <c r="M2" s="70"/>
      <c r="N2" s="70"/>
      <c r="O2" s="71"/>
      <c r="P2" s="70"/>
      <c r="Q2" s="70"/>
    </row>
    <row r="3" spans="1:17" s="74" customFormat="1" ht="12.75" thickBot="1" x14ac:dyDescent="0.25">
      <c r="A3" s="73"/>
      <c r="B3" s="70"/>
      <c r="C3" s="70"/>
      <c r="D3" s="70"/>
      <c r="E3" s="70"/>
      <c r="F3" s="71"/>
      <c r="G3" s="70"/>
      <c r="H3" s="70"/>
      <c r="I3" s="71"/>
      <c r="J3" s="70"/>
      <c r="K3" s="70"/>
      <c r="L3" s="71"/>
      <c r="M3" s="70"/>
      <c r="N3" s="70"/>
      <c r="O3" s="71"/>
      <c r="P3" s="70"/>
      <c r="Q3" s="70"/>
    </row>
    <row r="4" spans="1:17" x14ac:dyDescent="0.2">
      <c r="A4" s="288" t="s">
        <v>0</v>
      </c>
      <c r="B4" s="288"/>
      <c r="C4" s="288"/>
      <c r="D4" s="289">
        <v>42004</v>
      </c>
      <c r="E4" s="290"/>
      <c r="F4" s="71"/>
      <c r="G4" s="271">
        <f>D4-365</f>
        <v>41639</v>
      </c>
      <c r="H4" s="272"/>
      <c r="I4" s="71"/>
      <c r="J4" s="271">
        <f>G4-365</f>
        <v>41274</v>
      </c>
      <c r="K4" s="272"/>
      <c r="L4" s="71"/>
      <c r="M4" s="271">
        <f>J4-366</f>
        <v>40908</v>
      </c>
      <c r="N4" s="272"/>
      <c r="O4" s="71"/>
      <c r="P4" s="271">
        <f>M4-365</f>
        <v>40543</v>
      </c>
      <c r="Q4" s="272"/>
    </row>
    <row r="5" spans="1:17" s="74" customFormat="1" ht="12.75" customHeight="1" thickBot="1" x14ac:dyDescent="0.25">
      <c r="A5" s="273" t="s">
        <v>105</v>
      </c>
      <c r="B5" s="273"/>
      <c r="C5" s="274"/>
      <c r="D5" s="215">
        <v>2014</v>
      </c>
      <c r="E5" s="76">
        <v>12</v>
      </c>
      <c r="F5" s="265" t="s">
        <v>54</v>
      </c>
      <c r="G5" s="75">
        <f>D5-1</f>
        <v>2013</v>
      </c>
      <c r="H5" s="76">
        <v>12</v>
      </c>
      <c r="I5" s="265" t="s">
        <v>54</v>
      </c>
      <c r="J5" s="75">
        <f>G5-1</f>
        <v>2012</v>
      </c>
      <c r="K5" s="76">
        <v>12</v>
      </c>
      <c r="L5" s="265" t="s">
        <v>54</v>
      </c>
      <c r="M5" s="75">
        <f>J5-1</f>
        <v>2011</v>
      </c>
      <c r="N5" s="76">
        <v>12</v>
      </c>
      <c r="O5" s="265" t="s">
        <v>54</v>
      </c>
      <c r="P5" s="75">
        <f>M5-1</f>
        <v>2010</v>
      </c>
      <c r="Q5" s="76">
        <v>12</v>
      </c>
    </row>
    <row r="6" spans="1:17" s="74" customFormat="1" x14ac:dyDescent="0.2">
      <c r="A6" s="273"/>
      <c r="B6" s="273"/>
      <c r="C6" s="274"/>
      <c r="D6" s="266"/>
      <c r="E6" s="267"/>
      <c r="F6" s="265"/>
      <c r="G6" s="266"/>
      <c r="H6" s="267"/>
      <c r="I6" s="265"/>
      <c r="J6" s="266"/>
      <c r="K6" s="267"/>
      <c r="L6" s="265"/>
      <c r="M6" s="266"/>
      <c r="N6" s="267"/>
      <c r="O6" s="265"/>
      <c r="P6" s="266"/>
      <c r="Q6" s="267"/>
    </row>
    <row r="7" spans="1:17" s="74" customFormat="1" x14ac:dyDescent="0.2">
      <c r="A7" s="77"/>
      <c r="B7" s="77"/>
      <c r="C7" s="78"/>
      <c r="D7" s="79" t="s">
        <v>42</v>
      </c>
      <c r="E7" s="80" t="s">
        <v>41</v>
      </c>
      <c r="F7" s="81" t="s">
        <v>55</v>
      </c>
      <c r="G7" s="79" t="s">
        <v>42</v>
      </c>
      <c r="H7" s="80" t="s">
        <v>41</v>
      </c>
      <c r="I7" s="81" t="s">
        <v>55</v>
      </c>
      <c r="J7" s="79" t="s">
        <v>42</v>
      </c>
      <c r="K7" s="80" t="s">
        <v>41</v>
      </c>
      <c r="L7" s="81" t="s">
        <v>55</v>
      </c>
      <c r="M7" s="79" t="s">
        <v>42</v>
      </c>
      <c r="N7" s="80" t="s">
        <v>41</v>
      </c>
      <c r="O7" s="81" t="s">
        <v>55</v>
      </c>
      <c r="P7" s="79" t="s">
        <v>42</v>
      </c>
      <c r="Q7" s="80" t="s">
        <v>41</v>
      </c>
    </row>
    <row r="8" spans="1:17" s="82" customFormat="1" ht="12.75" x14ac:dyDescent="0.2">
      <c r="A8" s="291" t="s">
        <v>3</v>
      </c>
      <c r="B8" s="291"/>
      <c r="C8" s="292"/>
      <c r="D8" s="161">
        <f>SUM(D9,D14,D20)</f>
        <v>0</v>
      </c>
      <c r="E8" s="162" t="str">
        <f>IF(D$45=0,"NA",D8/D$45)</f>
        <v>NA</v>
      </c>
      <c r="F8" s="163" t="str">
        <f>IF(G8=0,"NA",D8/G8-1)</f>
        <v>NA</v>
      </c>
      <c r="G8" s="161">
        <f>SUM(G9,G14,G20)</f>
        <v>0</v>
      </c>
      <c r="H8" s="162" t="str">
        <f>IF(G$45=0,"NA",G8/G$45)</f>
        <v>NA</v>
      </c>
      <c r="I8" s="163" t="str">
        <f>IF(J8=0,"NA",G8/J8-1)</f>
        <v>NA</v>
      </c>
      <c r="J8" s="161">
        <f>SUM(J9,J14,J20)</f>
        <v>0</v>
      </c>
      <c r="K8" s="162" t="str">
        <f>IF(J$45=0,"NA",J8/J$45)</f>
        <v>NA</v>
      </c>
      <c r="L8" s="163" t="str">
        <f>IF(M8=0,"NA",J8/M8-1)</f>
        <v>NA</v>
      </c>
      <c r="M8" s="161">
        <f>SUM(M9,M14,M20)</f>
        <v>0</v>
      </c>
      <c r="N8" s="162" t="str">
        <f>IF(M$45=0,"NA",M8/M$45)</f>
        <v>NA</v>
      </c>
      <c r="O8" s="163" t="str">
        <f>IF(P8=0,"NA",M8/P8-1)</f>
        <v>NA</v>
      </c>
      <c r="P8" s="161">
        <f>SUM(P9,P14,P20)</f>
        <v>0</v>
      </c>
      <c r="Q8" s="162" t="str">
        <f>IF(P$45=0,"NA",P8/P$45)</f>
        <v>NA</v>
      </c>
    </row>
    <row r="9" spans="1:17" s="74" customFormat="1" x14ac:dyDescent="0.2">
      <c r="A9" s="268" t="s">
        <v>4</v>
      </c>
      <c r="B9" s="237"/>
      <c r="C9" s="237"/>
      <c r="D9" s="83">
        <f>SUM(D10:D12)</f>
        <v>0</v>
      </c>
      <c r="E9" s="84" t="str">
        <f>IF(D$45=0,"NA",D9/D$45)</f>
        <v>NA</v>
      </c>
      <c r="F9" s="85" t="str">
        <f t="shared" ref="F9:F76" si="0">IF(G9=0,"NA",D9/G9-1)</f>
        <v>NA</v>
      </c>
      <c r="G9" s="83">
        <f>SUM(G10:G12)</f>
        <v>0</v>
      </c>
      <c r="H9" s="84" t="str">
        <f>IF(G$45=0,"NA",G9/G$45)</f>
        <v>NA</v>
      </c>
      <c r="I9" s="85" t="str">
        <f t="shared" ref="I9:I76" si="1">IF(J9=0,"NA",G9/J9-1)</f>
        <v>NA</v>
      </c>
      <c r="J9" s="83">
        <f>SUM(J10:J12)</f>
        <v>0</v>
      </c>
      <c r="K9" s="84" t="str">
        <f>IF(J$45=0,"NA",J9/J$45)</f>
        <v>NA</v>
      </c>
      <c r="L9" s="85" t="str">
        <f>IF(M9=0,"NA",J9/M9-1)</f>
        <v>NA</v>
      </c>
      <c r="M9" s="83">
        <f>SUM(M10:M12)</f>
        <v>0</v>
      </c>
      <c r="N9" s="84" t="str">
        <f>IF(M$45=0,"NA",M9/M$45)</f>
        <v>NA</v>
      </c>
      <c r="O9" s="85" t="str">
        <f t="shared" ref="O9:O76" si="2">IF(P9=0,"NA",M9/P9-1)</f>
        <v>NA</v>
      </c>
      <c r="P9" s="83">
        <f>SUM(P10:P12)</f>
        <v>0</v>
      </c>
      <c r="Q9" s="84" t="str">
        <f>IF(P$45=0,"NA",P9/P$45)</f>
        <v>NA</v>
      </c>
    </row>
    <row r="10" spans="1:17" x14ac:dyDescent="0.2">
      <c r="A10" s="229" t="s">
        <v>19</v>
      </c>
      <c r="B10" s="229"/>
      <c r="C10" s="242"/>
      <c r="D10" s="86">
        <v>0</v>
      </c>
      <c r="E10" s="87" t="str">
        <f>IF(D$45=0,"NA",D10/D$45)</f>
        <v>NA</v>
      </c>
      <c r="F10" s="88" t="str">
        <f t="shared" si="0"/>
        <v>NA</v>
      </c>
      <c r="G10" s="86">
        <v>0</v>
      </c>
      <c r="H10" s="87" t="str">
        <f>IF(G$45=0,"NA",G10/G$45)</f>
        <v>NA</v>
      </c>
      <c r="I10" s="88" t="str">
        <f t="shared" si="1"/>
        <v>NA</v>
      </c>
      <c r="J10" s="55">
        <v>0</v>
      </c>
      <c r="K10" s="87" t="str">
        <f>IF(J$45=0,"NA",J10/J$45)</f>
        <v>NA</v>
      </c>
      <c r="L10" s="88" t="str">
        <f t="shared" ref="L10:L76" si="3">IF(M10=0,"NA",J10/M10-1)</f>
        <v>NA</v>
      </c>
      <c r="M10" s="55">
        <v>0</v>
      </c>
      <c r="N10" s="87" t="str">
        <f>IF(M$45=0,"NA",M10/M$45)</f>
        <v>NA</v>
      </c>
      <c r="O10" s="88" t="str">
        <f t="shared" si="2"/>
        <v>NA</v>
      </c>
      <c r="P10" s="55">
        <v>0</v>
      </c>
      <c r="Q10" s="87" t="str">
        <f>IF(P$45=0,"NA",P10/P$45)</f>
        <v>NA</v>
      </c>
    </row>
    <row r="11" spans="1:17" x14ac:dyDescent="0.2">
      <c r="A11" s="229" t="s">
        <v>20</v>
      </c>
      <c r="B11" s="229"/>
      <c r="C11" s="242"/>
      <c r="D11" s="86">
        <v>0</v>
      </c>
      <c r="E11" s="87" t="str">
        <f>IF(D$45=0,"NA",D11/D$45)</f>
        <v>NA</v>
      </c>
      <c r="F11" s="88" t="str">
        <f t="shared" si="0"/>
        <v>NA</v>
      </c>
      <c r="G11" s="86">
        <v>0</v>
      </c>
      <c r="H11" s="87" t="str">
        <f>IF(G$45=0,"NA",G11/G$45)</f>
        <v>NA</v>
      </c>
      <c r="I11" s="88" t="str">
        <f t="shared" si="1"/>
        <v>NA</v>
      </c>
      <c r="J11" s="86">
        <v>0</v>
      </c>
      <c r="K11" s="87" t="str">
        <f>IF(J$45=0,"NA",J11/J$45)</f>
        <v>NA</v>
      </c>
      <c r="L11" s="88" t="str">
        <f t="shared" si="3"/>
        <v>NA</v>
      </c>
      <c r="M11" s="86">
        <v>0</v>
      </c>
      <c r="N11" s="87" t="str">
        <f>IF(M$45=0,"NA",M11/M$45)</f>
        <v>NA</v>
      </c>
      <c r="O11" s="88" t="str">
        <f t="shared" si="2"/>
        <v>NA</v>
      </c>
      <c r="P11" s="86">
        <v>0</v>
      </c>
      <c r="Q11" s="87" t="str">
        <f>IF(P$45=0,"NA",P11/P$45)</f>
        <v>NA</v>
      </c>
    </row>
    <row r="12" spans="1:17" x14ac:dyDescent="0.2">
      <c r="A12" s="229" t="s">
        <v>21</v>
      </c>
      <c r="B12" s="229"/>
      <c r="C12" s="242"/>
      <c r="D12" s="86">
        <v>0</v>
      </c>
      <c r="E12" s="87" t="str">
        <f>IF(D$45=0,"NA",D12/D$45)</f>
        <v>NA</v>
      </c>
      <c r="F12" s="88" t="str">
        <f t="shared" si="0"/>
        <v>NA</v>
      </c>
      <c r="G12" s="86">
        <v>0</v>
      </c>
      <c r="H12" s="87" t="str">
        <f>IF(G$45=0,"NA",G12/G$45)</f>
        <v>NA</v>
      </c>
      <c r="I12" s="88" t="str">
        <f t="shared" si="1"/>
        <v>NA</v>
      </c>
      <c r="J12" s="86">
        <v>0</v>
      </c>
      <c r="K12" s="87" t="str">
        <f>IF(J$45=0,"NA",J12/J$45)</f>
        <v>NA</v>
      </c>
      <c r="L12" s="88" t="str">
        <f t="shared" si="3"/>
        <v>NA</v>
      </c>
      <c r="M12" s="86">
        <v>0</v>
      </c>
      <c r="N12" s="87" t="str">
        <f>IF(M$45=0,"NA",M12/M$45)</f>
        <v>NA</v>
      </c>
      <c r="O12" s="88" t="str">
        <f t="shared" si="2"/>
        <v>NA</v>
      </c>
      <c r="P12" s="86">
        <v>0</v>
      </c>
      <c r="Q12" s="87" t="str">
        <f>IF(P$45=0,"NA",P12/P$45)</f>
        <v>NA</v>
      </c>
    </row>
    <row r="13" spans="1:17" s="74" customFormat="1" x14ac:dyDescent="0.2">
      <c r="A13" s="73"/>
      <c r="B13" s="73"/>
      <c r="C13" s="89"/>
      <c r="D13" s="90"/>
      <c r="E13" s="91"/>
      <c r="F13" s="88"/>
      <c r="G13" s="90"/>
      <c r="H13" s="91"/>
      <c r="I13" s="88"/>
      <c r="J13" s="90"/>
      <c r="K13" s="91"/>
      <c r="L13" s="88"/>
      <c r="M13" s="90"/>
      <c r="N13" s="91"/>
      <c r="O13" s="88"/>
      <c r="P13" s="90"/>
      <c r="Q13" s="91"/>
    </row>
    <row r="14" spans="1:17" s="74" customFormat="1" x14ac:dyDescent="0.2">
      <c r="A14" s="268" t="s">
        <v>5</v>
      </c>
      <c r="B14" s="237" t="s">
        <v>1</v>
      </c>
      <c r="C14" s="237"/>
      <c r="D14" s="83">
        <f>SUM(D15:D18)</f>
        <v>0</v>
      </c>
      <c r="E14" s="84" t="str">
        <f>IF(D$45=0,"NA",D14/D$45)</f>
        <v>NA</v>
      </c>
      <c r="F14" s="85" t="str">
        <f t="shared" si="0"/>
        <v>NA</v>
      </c>
      <c r="G14" s="83">
        <f>SUM(G15:G18)</f>
        <v>0</v>
      </c>
      <c r="H14" s="84" t="str">
        <f>IF(G$45=0,"NA",G14/G$45)</f>
        <v>NA</v>
      </c>
      <c r="I14" s="85" t="str">
        <f t="shared" si="1"/>
        <v>NA</v>
      </c>
      <c r="J14" s="83">
        <f>SUM(J15:J18)</f>
        <v>0</v>
      </c>
      <c r="K14" s="84" t="str">
        <f>IF(J$45=0,"NA",J14/J$45)</f>
        <v>NA</v>
      </c>
      <c r="L14" s="85" t="str">
        <f t="shared" si="3"/>
        <v>NA</v>
      </c>
      <c r="M14" s="83">
        <f>SUM(M15:M18)</f>
        <v>0</v>
      </c>
      <c r="N14" s="84" t="str">
        <f>IF(M$45=0,"NA",M14/M$45)</f>
        <v>NA</v>
      </c>
      <c r="O14" s="85" t="str">
        <f t="shared" si="2"/>
        <v>NA</v>
      </c>
      <c r="P14" s="83">
        <f>SUM(P15:P18)</f>
        <v>0</v>
      </c>
      <c r="Q14" s="84" t="str">
        <f>IF(P$45=0,"NA",P14/P$45)</f>
        <v>NA</v>
      </c>
    </row>
    <row r="15" spans="1:17" x14ac:dyDescent="0.2">
      <c r="A15" s="269" t="s">
        <v>22</v>
      </c>
      <c r="B15" s="269"/>
      <c r="C15" s="270"/>
      <c r="D15" s="92">
        <v>0</v>
      </c>
      <c r="E15" s="87" t="str">
        <f>IF(D$45=0,"NA",D15/D$45)</f>
        <v>NA</v>
      </c>
      <c r="F15" s="93" t="str">
        <f t="shared" si="0"/>
        <v>NA</v>
      </c>
      <c r="G15" s="92">
        <v>0</v>
      </c>
      <c r="H15" s="87" t="str">
        <f>IF(G$45=0,"NA",G15/G$45)</f>
        <v>NA</v>
      </c>
      <c r="I15" s="93" t="str">
        <f t="shared" si="1"/>
        <v>NA</v>
      </c>
      <c r="J15" s="92">
        <v>0</v>
      </c>
      <c r="K15" s="87" t="str">
        <f>IF(J$45=0,"NA",J15/J$45)</f>
        <v>NA</v>
      </c>
      <c r="L15" s="93" t="str">
        <f t="shared" si="3"/>
        <v>NA</v>
      </c>
      <c r="M15" s="92">
        <v>0</v>
      </c>
      <c r="N15" s="87" t="str">
        <f>IF(M$45=0,"NA",M15/M$45)</f>
        <v>NA</v>
      </c>
      <c r="O15" s="93" t="str">
        <f t="shared" si="2"/>
        <v>NA</v>
      </c>
      <c r="P15" s="92">
        <v>0</v>
      </c>
      <c r="Q15" s="87" t="str">
        <f>IF(P$45=0,"NA",P15/P$45)</f>
        <v>NA</v>
      </c>
    </row>
    <row r="16" spans="1:17" x14ac:dyDescent="0.2">
      <c r="A16" s="269" t="s">
        <v>23</v>
      </c>
      <c r="B16" s="269"/>
      <c r="C16" s="270"/>
      <c r="D16" s="92">
        <v>0</v>
      </c>
      <c r="E16" s="87" t="str">
        <f>IF(D$45=0,"NA",D16/D$45)</f>
        <v>NA</v>
      </c>
      <c r="F16" s="93" t="str">
        <f t="shared" si="0"/>
        <v>NA</v>
      </c>
      <c r="G16" s="92">
        <v>0</v>
      </c>
      <c r="H16" s="87" t="str">
        <f>IF(G$45=0,"NA",G16/G$45)</f>
        <v>NA</v>
      </c>
      <c r="I16" s="93" t="str">
        <f t="shared" si="1"/>
        <v>NA</v>
      </c>
      <c r="J16" s="92">
        <v>0</v>
      </c>
      <c r="K16" s="87" t="str">
        <f>IF(J$45=0,"NA",J16/J$45)</f>
        <v>NA</v>
      </c>
      <c r="L16" s="93" t="str">
        <f t="shared" si="3"/>
        <v>NA</v>
      </c>
      <c r="M16" s="92">
        <v>0</v>
      </c>
      <c r="N16" s="87" t="str">
        <f>IF(M$45=0,"NA",M16/M$45)</f>
        <v>NA</v>
      </c>
      <c r="O16" s="93" t="str">
        <f t="shared" si="2"/>
        <v>NA</v>
      </c>
      <c r="P16" s="92">
        <v>0</v>
      </c>
      <c r="Q16" s="87" t="str">
        <f>IF(P$45=0,"NA",P16/P$45)</f>
        <v>NA</v>
      </c>
    </row>
    <row r="17" spans="1:17" x14ac:dyDescent="0.2">
      <c r="A17" s="269" t="s">
        <v>24</v>
      </c>
      <c r="B17" s="269"/>
      <c r="C17" s="270"/>
      <c r="D17" s="92">
        <v>0</v>
      </c>
      <c r="E17" s="87" t="str">
        <f>IF(D$45=0,"NA",D17/D$45)</f>
        <v>NA</v>
      </c>
      <c r="F17" s="93" t="str">
        <f t="shared" si="0"/>
        <v>NA</v>
      </c>
      <c r="G17" s="92">
        <v>0</v>
      </c>
      <c r="H17" s="87" t="str">
        <f>IF(G$45=0,"NA",G17/G$45)</f>
        <v>NA</v>
      </c>
      <c r="I17" s="93" t="str">
        <f t="shared" si="1"/>
        <v>NA</v>
      </c>
      <c r="J17" s="56">
        <v>0</v>
      </c>
      <c r="K17" s="87" t="str">
        <f>IF(J$45=0,"NA",J17/J$45)</f>
        <v>NA</v>
      </c>
      <c r="L17" s="93" t="str">
        <f t="shared" si="3"/>
        <v>NA</v>
      </c>
      <c r="M17" s="56">
        <v>0</v>
      </c>
      <c r="N17" s="87" t="str">
        <f>IF(M$45=0,"NA",M17/M$45)</f>
        <v>NA</v>
      </c>
      <c r="O17" s="93" t="str">
        <f t="shared" si="2"/>
        <v>NA</v>
      </c>
      <c r="P17" s="56">
        <v>0</v>
      </c>
      <c r="Q17" s="87" t="str">
        <f>IF(P$45=0,"NA",P17/P$45)</f>
        <v>NA</v>
      </c>
    </row>
    <row r="18" spans="1:17" x14ac:dyDescent="0.2">
      <c r="A18" s="269" t="s">
        <v>38</v>
      </c>
      <c r="B18" s="269"/>
      <c r="C18" s="270"/>
      <c r="D18" s="92">
        <v>0</v>
      </c>
      <c r="E18" s="87" t="str">
        <f>IF(D$45=0,"NA",D18/D$45)</f>
        <v>NA</v>
      </c>
      <c r="F18" s="93" t="str">
        <f t="shared" si="0"/>
        <v>NA</v>
      </c>
      <c r="G18" s="92">
        <v>0</v>
      </c>
      <c r="H18" s="87" t="str">
        <f>IF(G$45=0,"NA",G18/G$45)</f>
        <v>NA</v>
      </c>
      <c r="I18" s="93" t="str">
        <f t="shared" si="1"/>
        <v>NA</v>
      </c>
      <c r="J18" s="92">
        <v>0</v>
      </c>
      <c r="K18" s="87" t="str">
        <f>IF(J$45=0,"NA",J18/J$45)</f>
        <v>NA</v>
      </c>
      <c r="L18" s="93" t="str">
        <f t="shared" si="3"/>
        <v>NA</v>
      </c>
      <c r="M18" s="92">
        <v>0</v>
      </c>
      <c r="N18" s="87" t="str">
        <f>IF(M$45=0,"NA",M18/M$45)</f>
        <v>NA</v>
      </c>
      <c r="O18" s="93" t="str">
        <f t="shared" si="2"/>
        <v>NA</v>
      </c>
      <c r="P18" s="92">
        <v>0</v>
      </c>
      <c r="Q18" s="87" t="str">
        <f>IF(P$45=0,"NA",P18/P$45)</f>
        <v>NA</v>
      </c>
    </row>
    <row r="19" spans="1:17" x14ac:dyDescent="0.2">
      <c r="A19" s="94"/>
      <c r="B19" s="94"/>
      <c r="C19" s="95"/>
      <c r="D19" s="96"/>
      <c r="E19" s="87"/>
      <c r="F19" s="88"/>
      <c r="G19" s="96"/>
      <c r="H19" s="87"/>
      <c r="I19" s="88"/>
      <c r="J19" s="96"/>
      <c r="K19" s="87"/>
      <c r="L19" s="88"/>
      <c r="M19" s="96"/>
      <c r="N19" s="87"/>
      <c r="O19" s="88"/>
      <c r="P19" s="96"/>
      <c r="Q19" s="87"/>
    </row>
    <row r="20" spans="1:17" s="74" customFormat="1" x14ac:dyDescent="0.2">
      <c r="A20" s="268" t="s">
        <v>6</v>
      </c>
      <c r="B20" s="237" t="s">
        <v>2</v>
      </c>
      <c r="C20" s="237"/>
      <c r="D20" s="83">
        <f>SUM(D21:D24)</f>
        <v>0</v>
      </c>
      <c r="E20" s="84" t="str">
        <f>IF(D$45=0,"NA",D20/D$45)</f>
        <v>NA</v>
      </c>
      <c r="F20" s="85" t="str">
        <f t="shared" si="0"/>
        <v>NA</v>
      </c>
      <c r="G20" s="83">
        <f>SUM(G21:G24)</f>
        <v>0</v>
      </c>
      <c r="H20" s="84" t="str">
        <f>IF(G$45=0,"NA",G20/G$45)</f>
        <v>NA</v>
      </c>
      <c r="I20" s="85" t="str">
        <f t="shared" si="1"/>
        <v>NA</v>
      </c>
      <c r="J20" s="83">
        <f>SUM(J21:J24)</f>
        <v>0</v>
      </c>
      <c r="K20" s="84" t="str">
        <f>IF(J$45=0,"NA",J20/J$45)</f>
        <v>NA</v>
      </c>
      <c r="L20" s="85" t="str">
        <f t="shared" si="3"/>
        <v>NA</v>
      </c>
      <c r="M20" s="83">
        <f>SUM(M21:M24)</f>
        <v>0</v>
      </c>
      <c r="N20" s="84" t="str">
        <f>IF(M$45=0,"NA",M20/M$45)</f>
        <v>NA</v>
      </c>
      <c r="O20" s="85" t="str">
        <f t="shared" si="2"/>
        <v>NA</v>
      </c>
      <c r="P20" s="83">
        <f>SUM(P21:P24)</f>
        <v>0</v>
      </c>
      <c r="Q20" s="84" t="str">
        <f>IF(P$45=0,"NA",P20/P$45)</f>
        <v>NA</v>
      </c>
    </row>
    <row r="21" spans="1:17" x14ac:dyDescent="0.2">
      <c r="A21" s="229" t="s">
        <v>25</v>
      </c>
      <c r="B21" s="229"/>
      <c r="C21" s="229"/>
      <c r="D21" s="92">
        <v>0</v>
      </c>
      <c r="E21" s="87" t="str">
        <f>IF(D$45=0,"NA",D21/D$45)</f>
        <v>NA</v>
      </c>
      <c r="F21" s="93" t="str">
        <f t="shared" si="0"/>
        <v>NA</v>
      </c>
      <c r="G21" s="92">
        <v>0</v>
      </c>
      <c r="H21" s="87" t="str">
        <f>IF(G$45=0,"NA",G21/G$45)</f>
        <v>NA</v>
      </c>
      <c r="I21" s="93" t="str">
        <f t="shared" si="1"/>
        <v>NA</v>
      </c>
      <c r="J21" s="92">
        <v>0</v>
      </c>
      <c r="K21" s="87" t="str">
        <f>IF(J$45=0,"NA",J21/J$45)</f>
        <v>NA</v>
      </c>
      <c r="L21" s="93" t="str">
        <f t="shared" si="3"/>
        <v>NA</v>
      </c>
      <c r="M21" s="92">
        <v>0</v>
      </c>
      <c r="N21" s="87" t="str">
        <f>IF(M$45=0,"NA",M21/M$45)</f>
        <v>NA</v>
      </c>
      <c r="O21" s="93" t="str">
        <f t="shared" si="2"/>
        <v>NA</v>
      </c>
      <c r="P21" s="92">
        <v>0</v>
      </c>
      <c r="Q21" s="87" t="str">
        <f>IF(P$45=0,"NA",P21/P$45)</f>
        <v>NA</v>
      </c>
    </row>
    <row r="22" spans="1:17" x14ac:dyDescent="0.2">
      <c r="A22" s="229" t="s">
        <v>26</v>
      </c>
      <c r="B22" s="229"/>
      <c r="C22" s="242"/>
      <c r="D22" s="92">
        <v>0</v>
      </c>
      <c r="E22" s="87" t="str">
        <f>IF(D$45=0,"NA",D22/D$45)</f>
        <v>NA</v>
      </c>
      <c r="F22" s="93" t="str">
        <f t="shared" si="0"/>
        <v>NA</v>
      </c>
      <c r="G22" s="92">
        <v>0</v>
      </c>
      <c r="H22" s="87" t="str">
        <f>IF(G$45=0,"NA",G22/G$45)</f>
        <v>NA</v>
      </c>
      <c r="I22" s="93" t="str">
        <f t="shared" si="1"/>
        <v>NA</v>
      </c>
      <c r="J22" s="92">
        <v>0</v>
      </c>
      <c r="K22" s="87" t="str">
        <f>IF(J$45=0,"NA",J22/J$45)</f>
        <v>NA</v>
      </c>
      <c r="L22" s="93" t="str">
        <f t="shared" si="3"/>
        <v>NA</v>
      </c>
      <c r="M22" s="92">
        <v>0</v>
      </c>
      <c r="N22" s="87" t="str">
        <f>IF(M$45=0,"NA",M22/M$45)</f>
        <v>NA</v>
      </c>
      <c r="O22" s="93" t="str">
        <f t="shared" si="2"/>
        <v>NA</v>
      </c>
      <c r="P22" s="92">
        <v>0</v>
      </c>
      <c r="Q22" s="87" t="str">
        <f>IF(P$45=0,"NA",P22/P$45)</f>
        <v>NA</v>
      </c>
    </row>
    <row r="23" spans="1:17" x14ac:dyDescent="0.2">
      <c r="A23" s="229" t="s">
        <v>27</v>
      </c>
      <c r="B23" s="229"/>
      <c r="C23" s="242"/>
      <c r="D23" s="92">
        <v>0</v>
      </c>
      <c r="E23" s="87" t="str">
        <f>IF(D$45=0,"NA",D23/D$45)</f>
        <v>NA</v>
      </c>
      <c r="F23" s="93" t="str">
        <f t="shared" si="0"/>
        <v>NA</v>
      </c>
      <c r="G23" s="92">
        <v>0</v>
      </c>
      <c r="H23" s="87" t="str">
        <f>IF(G$45=0,"NA",G23/G$45)</f>
        <v>NA</v>
      </c>
      <c r="I23" s="93" t="str">
        <f t="shared" si="1"/>
        <v>NA</v>
      </c>
      <c r="J23" s="92">
        <v>0</v>
      </c>
      <c r="K23" s="87" t="str">
        <f>IF(J$45=0,"NA",J23/J$45)</f>
        <v>NA</v>
      </c>
      <c r="L23" s="93" t="str">
        <f t="shared" si="3"/>
        <v>NA</v>
      </c>
      <c r="M23" s="92">
        <v>0</v>
      </c>
      <c r="N23" s="87" t="str">
        <f>IF(M$45=0,"NA",M23/M$45)</f>
        <v>NA</v>
      </c>
      <c r="O23" s="93" t="str">
        <f t="shared" si="2"/>
        <v>NA</v>
      </c>
      <c r="P23" s="92">
        <v>0</v>
      </c>
      <c r="Q23" s="87" t="str">
        <f>IF(P$45=0,"NA",P23/P$45)</f>
        <v>NA</v>
      </c>
    </row>
    <row r="24" spans="1:17" s="74" customFormat="1" x14ac:dyDescent="0.2">
      <c r="A24" s="73"/>
      <c r="B24" s="73"/>
      <c r="C24" s="89"/>
      <c r="D24" s="90"/>
      <c r="E24" s="91"/>
      <c r="F24" s="88"/>
      <c r="G24" s="90"/>
      <c r="H24" s="91"/>
      <c r="I24" s="88"/>
      <c r="J24" s="90"/>
      <c r="K24" s="91"/>
      <c r="L24" s="88"/>
      <c r="M24" s="90"/>
      <c r="N24" s="91"/>
      <c r="O24" s="88"/>
      <c r="P24" s="90"/>
      <c r="Q24" s="91"/>
    </row>
    <row r="25" spans="1:17" s="82" customFormat="1" ht="12.75" x14ac:dyDescent="0.2">
      <c r="A25" s="235" t="s">
        <v>7</v>
      </c>
      <c r="B25" s="236"/>
      <c r="C25" s="236"/>
      <c r="D25" s="164">
        <f>D26+D32+D39+D41</f>
        <v>0</v>
      </c>
      <c r="E25" s="165" t="str">
        <f t="shared" ref="E25:E30" si="4">IF(D$45=0,"NA",D25/D$45)</f>
        <v>NA</v>
      </c>
      <c r="F25" s="166" t="str">
        <f t="shared" si="0"/>
        <v>NA</v>
      </c>
      <c r="G25" s="164">
        <f>G26+G32+G39+G41</f>
        <v>0</v>
      </c>
      <c r="H25" s="165" t="str">
        <f t="shared" ref="H25:H30" si="5">IF(G$45=0,"NA",G25/G$45)</f>
        <v>NA</v>
      </c>
      <c r="I25" s="166" t="str">
        <f t="shared" si="1"/>
        <v>NA</v>
      </c>
      <c r="J25" s="164">
        <f>J26+J32+J39+J41</f>
        <v>0</v>
      </c>
      <c r="K25" s="165" t="str">
        <f t="shared" ref="K25:K30" si="6">IF(J$45=0,"NA",J25/J$45)</f>
        <v>NA</v>
      </c>
      <c r="L25" s="166" t="str">
        <f t="shared" si="3"/>
        <v>NA</v>
      </c>
      <c r="M25" s="164">
        <f>M26+M32+M39+M41</f>
        <v>0</v>
      </c>
      <c r="N25" s="165" t="str">
        <f t="shared" ref="N25:N30" si="7">IF(M$45=0,"NA",M25/M$45)</f>
        <v>NA</v>
      </c>
      <c r="O25" s="166" t="str">
        <f t="shared" si="2"/>
        <v>NA</v>
      </c>
      <c r="P25" s="164">
        <f>P26+P32+P39+P41</f>
        <v>0</v>
      </c>
      <c r="Q25" s="165" t="str">
        <f t="shared" ref="Q25:Q30" si="8">IF(P$45=0,"NA",P25/P$45)</f>
        <v>NA</v>
      </c>
    </row>
    <row r="26" spans="1:17" s="74" customFormat="1" x14ac:dyDescent="0.2">
      <c r="A26" s="237" t="s">
        <v>8</v>
      </c>
      <c r="B26" s="237"/>
      <c r="C26" s="237"/>
      <c r="D26" s="83">
        <f>SUM(D27:D30)</f>
        <v>0</v>
      </c>
      <c r="E26" s="84" t="str">
        <f t="shared" si="4"/>
        <v>NA</v>
      </c>
      <c r="F26" s="85" t="str">
        <f t="shared" si="0"/>
        <v>NA</v>
      </c>
      <c r="G26" s="83">
        <f>SUM(G27:G30)</f>
        <v>0</v>
      </c>
      <c r="H26" s="84" t="str">
        <f t="shared" si="5"/>
        <v>NA</v>
      </c>
      <c r="I26" s="85" t="str">
        <f t="shared" si="1"/>
        <v>NA</v>
      </c>
      <c r="J26" s="83">
        <f>SUM(J27:J30)</f>
        <v>0</v>
      </c>
      <c r="K26" s="84" t="str">
        <f t="shared" si="6"/>
        <v>NA</v>
      </c>
      <c r="L26" s="85" t="str">
        <f t="shared" si="3"/>
        <v>NA</v>
      </c>
      <c r="M26" s="83">
        <f>SUM(M27:M30)</f>
        <v>0</v>
      </c>
      <c r="N26" s="84" t="str">
        <f t="shared" si="7"/>
        <v>NA</v>
      </c>
      <c r="O26" s="85" t="str">
        <f t="shared" si="2"/>
        <v>NA</v>
      </c>
      <c r="P26" s="83">
        <f>SUM(P27:P30)</f>
        <v>0</v>
      </c>
      <c r="Q26" s="84" t="str">
        <f t="shared" si="8"/>
        <v>NA</v>
      </c>
    </row>
    <row r="27" spans="1:17" s="97" customFormat="1" x14ac:dyDescent="0.2">
      <c r="A27" s="229" t="s">
        <v>28</v>
      </c>
      <c r="B27" s="229"/>
      <c r="C27" s="229"/>
      <c r="D27" s="92">
        <v>0</v>
      </c>
      <c r="E27" s="87" t="str">
        <f t="shared" si="4"/>
        <v>NA</v>
      </c>
      <c r="F27" s="93" t="str">
        <f t="shared" si="0"/>
        <v>NA</v>
      </c>
      <c r="G27" s="92">
        <v>0</v>
      </c>
      <c r="H27" s="87" t="str">
        <f t="shared" si="5"/>
        <v>NA</v>
      </c>
      <c r="I27" s="93" t="str">
        <f t="shared" si="1"/>
        <v>NA</v>
      </c>
      <c r="J27" s="92">
        <v>0</v>
      </c>
      <c r="K27" s="87" t="str">
        <f t="shared" si="6"/>
        <v>NA</v>
      </c>
      <c r="L27" s="93" t="str">
        <f t="shared" si="3"/>
        <v>NA</v>
      </c>
      <c r="M27" s="92">
        <v>0</v>
      </c>
      <c r="N27" s="87" t="str">
        <f t="shared" si="7"/>
        <v>NA</v>
      </c>
      <c r="O27" s="93" t="str">
        <f t="shared" si="2"/>
        <v>NA</v>
      </c>
      <c r="P27" s="92">
        <v>0</v>
      </c>
      <c r="Q27" s="87" t="str">
        <f t="shared" si="8"/>
        <v>NA</v>
      </c>
    </row>
    <row r="28" spans="1:17" s="97" customFormat="1" x14ac:dyDescent="0.2">
      <c r="A28" s="229" t="s">
        <v>29</v>
      </c>
      <c r="B28" s="229"/>
      <c r="C28" s="242"/>
      <c r="D28" s="92">
        <v>0</v>
      </c>
      <c r="E28" s="87" t="str">
        <f t="shared" si="4"/>
        <v>NA</v>
      </c>
      <c r="F28" s="93" t="str">
        <f t="shared" si="0"/>
        <v>NA</v>
      </c>
      <c r="G28" s="92">
        <v>0</v>
      </c>
      <c r="H28" s="87" t="str">
        <f t="shared" si="5"/>
        <v>NA</v>
      </c>
      <c r="I28" s="93" t="str">
        <f t="shared" si="1"/>
        <v>NA</v>
      </c>
      <c r="J28" s="92">
        <v>0</v>
      </c>
      <c r="K28" s="87" t="str">
        <f t="shared" si="6"/>
        <v>NA</v>
      </c>
      <c r="L28" s="93" t="str">
        <f t="shared" si="3"/>
        <v>NA</v>
      </c>
      <c r="M28" s="56">
        <v>0</v>
      </c>
      <c r="N28" s="87" t="str">
        <f t="shared" si="7"/>
        <v>NA</v>
      </c>
      <c r="O28" s="93" t="str">
        <f t="shared" si="2"/>
        <v>NA</v>
      </c>
      <c r="P28" s="56">
        <v>0</v>
      </c>
      <c r="Q28" s="87" t="str">
        <f t="shared" si="8"/>
        <v>NA</v>
      </c>
    </row>
    <row r="29" spans="1:17" s="97" customFormat="1" x14ac:dyDescent="0.2">
      <c r="A29" s="229" t="s">
        <v>30</v>
      </c>
      <c r="B29" s="229"/>
      <c r="C29" s="242"/>
      <c r="D29" s="92">
        <v>0</v>
      </c>
      <c r="E29" s="87" t="str">
        <f t="shared" si="4"/>
        <v>NA</v>
      </c>
      <c r="F29" s="93" t="str">
        <f t="shared" si="0"/>
        <v>NA</v>
      </c>
      <c r="G29" s="92">
        <v>0</v>
      </c>
      <c r="H29" s="87" t="str">
        <f t="shared" si="5"/>
        <v>NA</v>
      </c>
      <c r="I29" s="93" t="str">
        <f t="shared" si="1"/>
        <v>NA</v>
      </c>
      <c r="J29" s="92">
        <v>0</v>
      </c>
      <c r="K29" s="87" t="str">
        <f t="shared" si="6"/>
        <v>NA</v>
      </c>
      <c r="L29" s="93" t="str">
        <f t="shared" si="3"/>
        <v>NA</v>
      </c>
      <c r="M29" s="92">
        <v>0</v>
      </c>
      <c r="N29" s="87" t="str">
        <f t="shared" si="7"/>
        <v>NA</v>
      </c>
      <c r="O29" s="93" t="str">
        <f t="shared" si="2"/>
        <v>NA</v>
      </c>
      <c r="P29" s="92">
        <v>0</v>
      </c>
      <c r="Q29" s="87" t="str">
        <f t="shared" si="8"/>
        <v>NA</v>
      </c>
    </row>
    <row r="30" spans="1:17" s="97" customFormat="1" x14ac:dyDescent="0.2">
      <c r="A30" s="229" t="s">
        <v>31</v>
      </c>
      <c r="B30" s="229"/>
      <c r="C30" s="229"/>
      <c r="D30" s="92">
        <v>0</v>
      </c>
      <c r="E30" s="87" t="str">
        <f t="shared" si="4"/>
        <v>NA</v>
      </c>
      <c r="F30" s="93" t="str">
        <f t="shared" si="0"/>
        <v>NA</v>
      </c>
      <c r="G30" s="92">
        <v>0</v>
      </c>
      <c r="H30" s="87" t="str">
        <f t="shared" si="5"/>
        <v>NA</v>
      </c>
      <c r="I30" s="93" t="str">
        <f t="shared" si="1"/>
        <v>NA</v>
      </c>
      <c r="J30" s="92">
        <v>0</v>
      </c>
      <c r="K30" s="87" t="str">
        <f t="shared" si="6"/>
        <v>NA</v>
      </c>
      <c r="L30" s="93" t="str">
        <f t="shared" si="3"/>
        <v>NA</v>
      </c>
      <c r="M30" s="92">
        <v>0</v>
      </c>
      <c r="N30" s="87" t="str">
        <f t="shared" si="7"/>
        <v>NA</v>
      </c>
      <c r="O30" s="93" t="str">
        <f t="shared" si="2"/>
        <v>NA</v>
      </c>
      <c r="P30" s="92">
        <v>0</v>
      </c>
      <c r="Q30" s="87" t="str">
        <f t="shared" si="8"/>
        <v>NA</v>
      </c>
    </row>
    <row r="31" spans="1:17" s="102" customFormat="1" ht="11.25" x14ac:dyDescent="0.2">
      <c r="A31" s="98"/>
      <c r="B31" s="98"/>
      <c r="C31" s="99"/>
      <c r="D31" s="100"/>
      <c r="E31" s="101"/>
      <c r="F31" s="93"/>
      <c r="G31" s="100"/>
      <c r="H31" s="101"/>
      <c r="I31" s="93"/>
      <c r="J31" s="100"/>
      <c r="K31" s="101"/>
      <c r="L31" s="93"/>
      <c r="M31" s="100"/>
      <c r="N31" s="101"/>
      <c r="O31" s="93"/>
      <c r="P31" s="100"/>
      <c r="Q31" s="101"/>
    </row>
    <row r="32" spans="1:17" s="74" customFormat="1" x14ac:dyDescent="0.2">
      <c r="A32" s="268" t="s">
        <v>9</v>
      </c>
      <c r="B32" s="237"/>
      <c r="C32" s="237"/>
      <c r="D32" s="83">
        <f>SUM(D33,D34,D37)</f>
        <v>0</v>
      </c>
      <c r="E32" s="84" t="str">
        <f t="shared" ref="E32:E37" si="9">IF(D$45=0,"NA",D32/D$45)</f>
        <v>NA</v>
      </c>
      <c r="F32" s="85" t="str">
        <f t="shared" si="0"/>
        <v>NA</v>
      </c>
      <c r="G32" s="83">
        <f>SUM(G33,G34,G37)</f>
        <v>0</v>
      </c>
      <c r="H32" s="84" t="str">
        <f t="shared" ref="H32:H37" si="10">IF(G$45=0,"NA",G32/G$45)</f>
        <v>NA</v>
      </c>
      <c r="I32" s="85" t="str">
        <f t="shared" si="1"/>
        <v>NA</v>
      </c>
      <c r="J32" s="83">
        <f>SUM(J33,J34,J37)</f>
        <v>0</v>
      </c>
      <c r="K32" s="84" t="str">
        <f t="shared" ref="K32:K37" si="11">IF(J$45=0,"NA",J32/J$45)</f>
        <v>NA</v>
      </c>
      <c r="L32" s="85" t="str">
        <f t="shared" si="3"/>
        <v>NA</v>
      </c>
      <c r="M32" s="83">
        <f>SUM(M33,M34,M37)</f>
        <v>0</v>
      </c>
      <c r="N32" s="84" t="str">
        <f t="shared" ref="N32:N37" si="12">IF(M$45=0,"NA",M32/M$45)</f>
        <v>NA</v>
      </c>
      <c r="O32" s="85" t="str">
        <f t="shared" si="2"/>
        <v>NA</v>
      </c>
      <c r="P32" s="83">
        <f>SUM(P33,P34,P37)</f>
        <v>0</v>
      </c>
      <c r="Q32" s="84" t="str">
        <f t="shared" ref="Q32:Q37" si="13">IF(P$45=0,"NA",P32/P$45)</f>
        <v>NA</v>
      </c>
    </row>
    <row r="33" spans="1:17" s="97" customFormat="1" ht="11.25" x14ac:dyDescent="0.2">
      <c r="A33" s="229" t="s">
        <v>32</v>
      </c>
      <c r="B33" s="229"/>
      <c r="C33" s="229"/>
      <c r="D33" s="92">
        <v>0</v>
      </c>
      <c r="E33" s="103" t="str">
        <f t="shared" si="9"/>
        <v>NA</v>
      </c>
      <c r="F33" s="93" t="str">
        <f t="shared" si="0"/>
        <v>NA</v>
      </c>
      <c r="G33" s="92">
        <v>0</v>
      </c>
      <c r="H33" s="103" t="str">
        <f t="shared" si="10"/>
        <v>NA</v>
      </c>
      <c r="I33" s="93" t="str">
        <f t="shared" si="1"/>
        <v>NA</v>
      </c>
      <c r="J33" s="56">
        <v>0</v>
      </c>
      <c r="K33" s="103" t="str">
        <f t="shared" si="11"/>
        <v>NA</v>
      </c>
      <c r="L33" s="93" t="str">
        <f t="shared" si="3"/>
        <v>NA</v>
      </c>
      <c r="M33" s="56">
        <v>0</v>
      </c>
      <c r="N33" s="103" t="str">
        <f t="shared" si="12"/>
        <v>NA</v>
      </c>
      <c r="O33" s="93" t="str">
        <f t="shared" si="2"/>
        <v>NA</v>
      </c>
      <c r="P33" s="56">
        <v>0</v>
      </c>
      <c r="Q33" s="103" t="str">
        <f t="shared" si="13"/>
        <v>NA</v>
      </c>
    </row>
    <row r="34" spans="1:17" s="102" customFormat="1" ht="11.25" x14ac:dyDescent="0.2">
      <c r="A34" s="227" t="s">
        <v>33</v>
      </c>
      <c r="B34" s="227"/>
      <c r="C34" s="228"/>
      <c r="D34" s="100">
        <f>D35+D36</f>
        <v>0</v>
      </c>
      <c r="E34" s="101" t="str">
        <f t="shared" si="9"/>
        <v>NA</v>
      </c>
      <c r="F34" s="93" t="str">
        <f t="shared" si="0"/>
        <v>NA</v>
      </c>
      <c r="G34" s="100">
        <f>G35+G36</f>
        <v>0</v>
      </c>
      <c r="H34" s="101" t="str">
        <f t="shared" si="10"/>
        <v>NA</v>
      </c>
      <c r="I34" s="93" t="str">
        <f t="shared" si="1"/>
        <v>NA</v>
      </c>
      <c r="J34" s="100">
        <f>J35+J36</f>
        <v>0</v>
      </c>
      <c r="K34" s="101" t="str">
        <f t="shared" si="11"/>
        <v>NA</v>
      </c>
      <c r="L34" s="93" t="str">
        <f t="shared" si="3"/>
        <v>NA</v>
      </c>
      <c r="M34" s="100">
        <f>M35+M36</f>
        <v>0</v>
      </c>
      <c r="N34" s="101" t="str">
        <f t="shared" si="12"/>
        <v>NA</v>
      </c>
      <c r="O34" s="93" t="str">
        <f t="shared" si="2"/>
        <v>NA</v>
      </c>
      <c r="P34" s="100">
        <f>P35+P36</f>
        <v>0</v>
      </c>
      <c r="Q34" s="101" t="str">
        <f t="shared" si="13"/>
        <v>NA</v>
      </c>
    </row>
    <row r="35" spans="1:17" s="97" customFormat="1" ht="11.25" x14ac:dyDescent="0.2">
      <c r="A35" s="230" t="s">
        <v>39</v>
      </c>
      <c r="B35" s="230"/>
      <c r="C35" s="231"/>
      <c r="D35" s="104">
        <v>0</v>
      </c>
      <c r="E35" s="103" t="str">
        <f t="shared" si="9"/>
        <v>NA</v>
      </c>
      <c r="F35" s="93" t="str">
        <f t="shared" si="0"/>
        <v>NA</v>
      </c>
      <c r="G35" s="104">
        <v>0</v>
      </c>
      <c r="H35" s="103" t="str">
        <f t="shared" si="10"/>
        <v>NA</v>
      </c>
      <c r="I35" s="93" t="str">
        <f t="shared" si="1"/>
        <v>NA</v>
      </c>
      <c r="J35" s="104">
        <v>0</v>
      </c>
      <c r="K35" s="103" t="str">
        <f t="shared" si="11"/>
        <v>NA</v>
      </c>
      <c r="L35" s="93" t="str">
        <f t="shared" si="3"/>
        <v>NA</v>
      </c>
      <c r="M35" s="104">
        <v>0</v>
      </c>
      <c r="N35" s="103" t="str">
        <f t="shared" si="12"/>
        <v>NA</v>
      </c>
      <c r="O35" s="93" t="str">
        <f t="shared" si="2"/>
        <v>NA</v>
      </c>
      <c r="P35" s="104">
        <v>0</v>
      </c>
      <c r="Q35" s="103" t="str">
        <f t="shared" si="13"/>
        <v>NA</v>
      </c>
    </row>
    <row r="36" spans="1:17" s="97" customFormat="1" ht="11.25" x14ac:dyDescent="0.2">
      <c r="A36" s="230" t="s">
        <v>40</v>
      </c>
      <c r="B36" s="230"/>
      <c r="C36" s="230"/>
      <c r="D36" s="104">
        <v>0</v>
      </c>
      <c r="E36" s="103" t="str">
        <f t="shared" si="9"/>
        <v>NA</v>
      </c>
      <c r="F36" s="93" t="str">
        <f t="shared" si="0"/>
        <v>NA</v>
      </c>
      <c r="G36" s="104">
        <v>0</v>
      </c>
      <c r="H36" s="103" t="str">
        <f t="shared" si="10"/>
        <v>NA</v>
      </c>
      <c r="I36" s="93" t="str">
        <f t="shared" si="1"/>
        <v>NA</v>
      </c>
      <c r="J36" s="104">
        <v>0</v>
      </c>
      <c r="K36" s="103" t="str">
        <f t="shared" si="11"/>
        <v>NA</v>
      </c>
      <c r="L36" s="93" t="str">
        <f t="shared" si="3"/>
        <v>NA</v>
      </c>
      <c r="M36" s="104">
        <v>0</v>
      </c>
      <c r="N36" s="103" t="str">
        <f t="shared" si="12"/>
        <v>NA</v>
      </c>
      <c r="O36" s="93" t="str">
        <f t="shared" si="2"/>
        <v>NA</v>
      </c>
      <c r="P36" s="104">
        <v>0</v>
      </c>
      <c r="Q36" s="103" t="str">
        <f t="shared" si="13"/>
        <v>NA</v>
      </c>
    </row>
    <row r="37" spans="1:17" s="97" customFormat="1" ht="11.25" x14ac:dyDescent="0.2">
      <c r="A37" s="229" t="s">
        <v>34</v>
      </c>
      <c r="B37" s="229"/>
      <c r="C37" s="229"/>
      <c r="D37" s="92">
        <v>0</v>
      </c>
      <c r="E37" s="103" t="str">
        <f t="shared" si="9"/>
        <v>NA</v>
      </c>
      <c r="F37" s="93" t="str">
        <f t="shared" si="0"/>
        <v>NA</v>
      </c>
      <c r="G37" s="92">
        <v>0</v>
      </c>
      <c r="H37" s="103" t="str">
        <f t="shared" si="10"/>
        <v>NA</v>
      </c>
      <c r="I37" s="93" t="str">
        <f t="shared" si="1"/>
        <v>NA</v>
      </c>
      <c r="J37" s="56">
        <v>0</v>
      </c>
      <c r="K37" s="103" t="str">
        <f t="shared" si="11"/>
        <v>NA</v>
      </c>
      <c r="L37" s="93" t="str">
        <f t="shared" si="3"/>
        <v>NA</v>
      </c>
      <c r="M37" s="56">
        <v>0</v>
      </c>
      <c r="N37" s="103" t="str">
        <f t="shared" si="12"/>
        <v>NA</v>
      </c>
      <c r="O37" s="93" t="str">
        <f t="shared" si="2"/>
        <v>NA</v>
      </c>
      <c r="P37" s="56">
        <v>0</v>
      </c>
      <c r="Q37" s="103" t="str">
        <f t="shared" si="13"/>
        <v>NA</v>
      </c>
    </row>
    <row r="38" spans="1:17" s="210" customFormat="1" ht="11.25" x14ac:dyDescent="0.2">
      <c r="A38" s="286" t="s">
        <v>119</v>
      </c>
      <c r="B38" s="286"/>
      <c r="C38" s="287"/>
      <c r="D38" s="207">
        <v>0</v>
      </c>
      <c r="E38" s="208" t="str">
        <f>IF(D$32=0,"NA",D38/D$32)</f>
        <v>NA</v>
      </c>
      <c r="F38" s="209"/>
      <c r="G38" s="207">
        <v>0</v>
      </c>
      <c r="H38" s="208" t="str">
        <f>IF(G$32=0,"NA",G38/G$32)</f>
        <v>NA</v>
      </c>
      <c r="I38" s="209"/>
      <c r="J38" s="207">
        <v>0</v>
      </c>
      <c r="K38" s="208" t="str">
        <f>IF(J$32=0,"NA",J38/J$32)</f>
        <v>NA</v>
      </c>
      <c r="L38" s="209"/>
      <c r="M38" s="207"/>
      <c r="N38" s="208" t="str">
        <f>IF(M$33=0,"NA",M38/M$33)</f>
        <v>NA</v>
      </c>
      <c r="O38" s="209"/>
      <c r="P38" s="207"/>
      <c r="Q38" s="208" t="str">
        <f>IF(P$33=0,"NA",P38/P$33)</f>
        <v>NA</v>
      </c>
    </row>
    <row r="39" spans="1:17" x14ac:dyDescent="0.2">
      <c r="A39" s="257" t="s">
        <v>10</v>
      </c>
      <c r="B39" s="258"/>
      <c r="C39" s="258"/>
      <c r="D39" s="105">
        <v>0</v>
      </c>
      <c r="E39" s="106" t="str">
        <f>IF(D$45=0,"NA",D39/D$45)</f>
        <v>NA</v>
      </c>
      <c r="F39" s="85" t="str">
        <f t="shared" si="0"/>
        <v>NA</v>
      </c>
      <c r="G39" s="105">
        <v>0</v>
      </c>
      <c r="H39" s="106" t="str">
        <f>IF(G$45=0,"NA",G39/G$45)</f>
        <v>NA</v>
      </c>
      <c r="I39" s="85" t="str">
        <f t="shared" si="1"/>
        <v>NA</v>
      </c>
      <c r="J39" s="105">
        <v>0</v>
      </c>
      <c r="K39" s="106" t="str">
        <f>IF(J$45=0,"NA",J39/J$45)</f>
        <v>NA</v>
      </c>
      <c r="L39" s="85" t="str">
        <f t="shared" si="3"/>
        <v>NA</v>
      </c>
      <c r="M39" s="105">
        <v>0</v>
      </c>
      <c r="N39" s="106" t="str">
        <f>IF(M$45=0,"NA",M39/M$45)</f>
        <v>NA</v>
      </c>
      <c r="O39" s="85" t="str">
        <f t="shared" si="2"/>
        <v>NA</v>
      </c>
      <c r="P39" s="105">
        <v>0</v>
      </c>
      <c r="Q39" s="106" t="str">
        <f>IF(P$45=0,"NA",P39/P$45)</f>
        <v>NA</v>
      </c>
    </row>
    <row r="40" spans="1:17" s="74" customFormat="1" x14ac:dyDescent="0.2">
      <c r="A40" s="73"/>
      <c r="B40" s="73"/>
      <c r="C40" s="73"/>
      <c r="D40" s="90"/>
      <c r="E40" s="91"/>
      <c r="F40" s="88"/>
      <c r="G40" s="90"/>
      <c r="H40" s="91"/>
      <c r="I40" s="88"/>
      <c r="J40" s="90"/>
      <c r="K40" s="91"/>
      <c r="L40" s="88"/>
      <c r="M40" s="90"/>
      <c r="N40" s="91"/>
      <c r="O40" s="88"/>
      <c r="P40" s="90"/>
      <c r="Q40" s="91"/>
    </row>
    <row r="41" spans="1:17" x14ac:dyDescent="0.2">
      <c r="A41" s="257" t="s">
        <v>11</v>
      </c>
      <c r="B41" s="258"/>
      <c r="C41" s="258"/>
      <c r="D41" s="105">
        <v>0</v>
      </c>
      <c r="E41" s="106" t="str">
        <f>IF(D$45=0,"NA",D41/D$45)</f>
        <v>NA</v>
      </c>
      <c r="F41" s="85" t="str">
        <f t="shared" si="0"/>
        <v>NA</v>
      </c>
      <c r="G41" s="105">
        <v>0</v>
      </c>
      <c r="H41" s="106" t="str">
        <f>IF(G$45=0,"NA",G41/G$45)</f>
        <v>NA</v>
      </c>
      <c r="I41" s="85" t="str">
        <f t="shared" si="1"/>
        <v>NA</v>
      </c>
      <c r="J41" s="225">
        <v>0</v>
      </c>
      <c r="K41" s="106" t="str">
        <f>IF(J$45=0,"NA",J41/J$45)</f>
        <v>NA</v>
      </c>
      <c r="L41" s="85" t="str">
        <f t="shared" si="3"/>
        <v>NA</v>
      </c>
      <c r="M41" s="225">
        <v>0</v>
      </c>
      <c r="N41" s="106" t="str">
        <f>IF(M$45=0,"NA",M41/M$45)</f>
        <v>NA</v>
      </c>
      <c r="O41" s="85" t="str">
        <f t="shared" si="2"/>
        <v>NA</v>
      </c>
      <c r="P41" s="225">
        <v>0</v>
      </c>
      <c r="Q41" s="106" t="str">
        <f>IF(P$45=0,"NA",P41/P$45)</f>
        <v>NA</v>
      </c>
    </row>
    <row r="42" spans="1:17" s="74" customFormat="1" x14ac:dyDescent="0.2">
      <c r="A42" s="250"/>
      <c r="B42" s="250"/>
      <c r="C42" s="250"/>
      <c r="D42" s="90"/>
      <c r="E42" s="91"/>
      <c r="F42" s="88"/>
      <c r="G42" s="90"/>
      <c r="H42" s="91"/>
      <c r="I42" s="88"/>
      <c r="J42" s="90"/>
      <c r="K42" s="91"/>
      <c r="L42" s="88"/>
      <c r="M42" s="90"/>
      <c r="N42" s="91"/>
      <c r="O42" s="88"/>
      <c r="P42" s="90"/>
      <c r="Q42" s="91"/>
    </row>
    <row r="43" spans="1:17" s="68" customFormat="1" ht="12.75" x14ac:dyDescent="0.2">
      <c r="A43" s="248" t="s">
        <v>114</v>
      </c>
      <c r="B43" s="249"/>
      <c r="C43" s="249"/>
      <c r="D43" s="167">
        <v>0</v>
      </c>
      <c r="E43" s="168" t="str">
        <f>IF(D$45=0,"NA",D43/D$45)</f>
        <v>NA</v>
      </c>
      <c r="F43" s="166" t="str">
        <f t="shared" si="0"/>
        <v>NA</v>
      </c>
      <c r="G43" s="167">
        <v>0</v>
      </c>
      <c r="H43" s="168" t="str">
        <f>IF(G$45=0,"NA",G43/G$45)</f>
        <v>NA</v>
      </c>
      <c r="I43" s="166" t="str">
        <f t="shared" si="1"/>
        <v>NA</v>
      </c>
      <c r="J43" s="167">
        <v>0</v>
      </c>
      <c r="K43" s="168" t="str">
        <f>IF(J$45=0,"NA",J43/J$45)</f>
        <v>NA</v>
      </c>
      <c r="L43" s="166" t="str">
        <f t="shared" si="3"/>
        <v>NA</v>
      </c>
      <c r="M43" s="167">
        <v>0</v>
      </c>
      <c r="N43" s="168" t="str">
        <f>IF(M$45=0,"NA",M43/M$45)</f>
        <v>NA</v>
      </c>
      <c r="O43" s="166" t="str">
        <f t="shared" si="2"/>
        <v>NA</v>
      </c>
      <c r="P43" s="167">
        <v>0</v>
      </c>
      <c r="Q43" s="168" t="str">
        <f>IF(P$45=0,"NA",P43/P$45)</f>
        <v>NA</v>
      </c>
    </row>
    <row r="44" spans="1:17" s="74" customFormat="1" x14ac:dyDescent="0.2">
      <c r="A44" s="250"/>
      <c r="B44" s="250"/>
      <c r="C44" s="250"/>
      <c r="D44" s="107"/>
      <c r="E44" s="108"/>
      <c r="F44" s="109"/>
      <c r="G44" s="107"/>
      <c r="H44" s="108" t="str">
        <f>IF(G$45=0,"NA",G44/G$45)</f>
        <v>NA</v>
      </c>
      <c r="I44" s="109"/>
      <c r="J44" s="107"/>
      <c r="K44" s="108" t="str">
        <f>IF(J$45=0,"NA",J44/J$45)</f>
        <v>NA</v>
      </c>
      <c r="L44" s="109"/>
      <c r="M44" s="107"/>
      <c r="N44" s="108" t="str">
        <f>IF(M$45=0,"NA",M44/M$45)</f>
        <v>NA</v>
      </c>
      <c r="O44" s="109"/>
      <c r="P44" s="107"/>
      <c r="Q44" s="108" t="str">
        <f>IF(P$45=0,"NA",P44/P$45)</f>
        <v>NA</v>
      </c>
    </row>
    <row r="45" spans="1:17" s="110" customFormat="1" ht="12.75" x14ac:dyDescent="0.2">
      <c r="A45" s="253" t="s">
        <v>36</v>
      </c>
      <c r="B45" s="254"/>
      <c r="C45" s="254"/>
      <c r="D45" s="169">
        <f>D8+D25+D43</f>
        <v>0</v>
      </c>
      <c r="E45" s="170" t="str">
        <f>IF(D$45=0,"NA",D45/D$45)</f>
        <v>NA</v>
      </c>
      <c r="F45" s="171" t="str">
        <f t="shared" si="0"/>
        <v>NA</v>
      </c>
      <c r="G45" s="169">
        <f>G8+G25+G43</f>
        <v>0</v>
      </c>
      <c r="H45" s="170" t="str">
        <f>IF(G$45=0,"NA",G45/G$45)</f>
        <v>NA</v>
      </c>
      <c r="I45" s="171" t="str">
        <f t="shared" si="1"/>
        <v>NA</v>
      </c>
      <c r="J45" s="169">
        <f>J8+J25+J43</f>
        <v>0</v>
      </c>
      <c r="K45" s="170" t="str">
        <f>IF(J$45=0,"NA",J45/J$45)</f>
        <v>NA</v>
      </c>
      <c r="L45" s="171" t="str">
        <f t="shared" si="3"/>
        <v>NA</v>
      </c>
      <c r="M45" s="169">
        <f>M8+M25+M43</f>
        <v>0</v>
      </c>
      <c r="N45" s="170" t="str">
        <f>IF(M$45=0,"NA",M45/M$45)</f>
        <v>NA</v>
      </c>
      <c r="O45" s="171" t="str">
        <f t="shared" si="2"/>
        <v>NA</v>
      </c>
      <c r="P45" s="169">
        <f>P8+P25+P43</f>
        <v>0</v>
      </c>
      <c r="Q45" s="170" t="str">
        <f>IF(P$45=0,"NA",P45/P$45)</f>
        <v>NA</v>
      </c>
    </row>
    <row r="46" spans="1:17" s="112" customFormat="1" ht="12.75" customHeight="1" x14ac:dyDescent="0.2">
      <c r="A46" s="251"/>
      <c r="B46" s="251"/>
      <c r="C46" s="252"/>
      <c r="D46" s="90"/>
      <c r="E46" s="111"/>
      <c r="F46" s="88"/>
      <c r="G46" s="90"/>
      <c r="H46" s="111"/>
      <c r="I46" s="88"/>
      <c r="J46" s="90"/>
      <c r="K46" s="111"/>
      <c r="L46" s="88"/>
      <c r="M46" s="90"/>
      <c r="N46" s="111"/>
      <c r="O46" s="88"/>
      <c r="P46" s="90"/>
      <c r="Q46" s="111"/>
    </row>
    <row r="47" spans="1:17" s="82" customFormat="1" ht="12.75" x14ac:dyDescent="0.2">
      <c r="A47" s="235" t="s">
        <v>12</v>
      </c>
      <c r="B47" s="236"/>
      <c r="C47" s="236"/>
      <c r="D47" s="164">
        <f>D48+D50+D51+D52+D49</f>
        <v>0</v>
      </c>
      <c r="E47" s="165" t="str">
        <f t="shared" ref="E47:E91" si="14">IF(D$45=0,"NA",D47/D$45)</f>
        <v>NA</v>
      </c>
      <c r="F47" s="166" t="str">
        <f t="shared" si="0"/>
        <v>NA</v>
      </c>
      <c r="G47" s="164">
        <f>G48+G50+G51+G52+G49</f>
        <v>0</v>
      </c>
      <c r="H47" s="165" t="str">
        <f t="shared" ref="H47:H91" si="15">IF(G$45=0,"NA",G47/G$45)</f>
        <v>NA</v>
      </c>
      <c r="I47" s="166" t="str">
        <f t="shared" si="1"/>
        <v>NA</v>
      </c>
      <c r="J47" s="164">
        <f>J48+J50+J51+J52+J49</f>
        <v>0</v>
      </c>
      <c r="K47" s="165" t="str">
        <f t="shared" ref="K47:K91" si="16">IF(J$45=0,"NA",J47/J$45)</f>
        <v>NA</v>
      </c>
      <c r="L47" s="166" t="str">
        <f t="shared" si="3"/>
        <v>NA</v>
      </c>
      <c r="M47" s="164">
        <f>M48+M50+M51+M52+M49</f>
        <v>0</v>
      </c>
      <c r="N47" s="165" t="str">
        <f t="shared" ref="N47:N91" si="17">IF(M$45=0,"NA",M47/M$45)</f>
        <v>NA</v>
      </c>
      <c r="O47" s="166" t="str">
        <f t="shared" si="2"/>
        <v>NA</v>
      </c>
      <c r="P47" s="164">
        <f>P48+P50+P51+P52+P49</f>
        <v>0</v>
      </c>
      <c r="Q47" s="165" t="str">
        <f t="shared" ref="Q47:Q91" si="18">IF(P$45=0,"NA",P47/P$45)</f>
        <v>NA</v>
      </c>
    </row>
    <row r="48" spans="1:17" x14ac:dyDescent="0.2">
      <c r="A48" s="256" t="s">
        <v>14</v>
      </c>
      <c r="B48" s="256"/>
      <c r="C48" s="256"/>
      <c r="D48" s="113">
        <v>0</v>
      </c>
      <c r="E48" s="114" t="str">
        <f t="shared" si="14"/>
        <v>NA</v>
      </c>
      <c r="F48" s="115" t="str">
        <f t="shared" si="0"/>
        <v>NA</v>
      </c>
      <c r="G48" s="113">
        <v>0</v>
      </c>
      <c r="H48" s="114" t="str">
        <f t="shared" si="15"/>
        <v>NA</v>
      </c>
      <c r="I48" s="115" t="str">
        <f t="shared" si="1"/>
        <v>NA</v>
      </c>
      <c r="J48" s="226">
        <v>0</v>
      </c>
      <c r="K48" s="114" t="str">
        <f t="shared" si="16"/>
        <v>NA</v>
      </c>
      <c r="L48" s="115" t="str">
        <f t="shared" si="3"/>
        <v>NA</v>
      </c>
      <c r="M48" s="226">
        <v>0</v>
      </c>
      <c r="N48" s="114" t="str">
        <f t="shared" si="17"/>
        <v>NA</v>
      </c>
      <c r="O48" s="115" t="str">
        <f t="shared" si="2"/>
        <v>NA</v>
      </c>
      <c r="P48" s="113">
        <v>0</v>
      </c>
      <c r="Q48" s="114" t="str">
        <f t="shared" si="18"/>
        <v>NA</v>
      </c>
    </row>
    <row r="49" spans="1:17" x14ac:dyDescent="0.2">
      <c r="A49" s="278" t="s">
        <v>109</v>
      </c>
      <c r="B49" s="278"/>
      <c r="C49" s="279"/>
      <c r="D49" s="104">
        <v>0</v>
      </c>
      <c r="E49" s="116"/>
      <c r="F49" s="93"/>
      <c r="G49" s="104">
        <v>0</v>
      </c>
      <c r="H49" s="116"/>
      <c r="I49" s="93"/>
      <c r="J49" s="57">
        <v>0</v>
      </c>
      <c r="K49" s="116"/>
      <c r="L49" s="93"/>
      <c r="M49" s="57">
        <v>0</v>
      </c>
      <c r="N49" s="116"/>
      <c r="O49" s="93"/>
      <c r="P49" s="226">
        <v>0</v>
      </c>
      <c r="Q49" s="116"/>
    </row>
    <row r="50" spans="1:17" x14ac:dyDescent="0.2">
      <c r="A50" s="255" t="s">
        <v>13</v>
      </c>
      <c r="B50" s="255"/>
      <c r="C50" s="255"/>
      <c r="D50" s="86">
        <v>0</v>
      </c>
      <c r="E50" s="117" t="str">
        <f t="shared" si="14"/>
        <v>NA</v>
      </c>
      <c r="F50" s="88" t="str">
        <f t="shared" si="0"/>
        <v>NA</v>
      </c>
      <c r="G50" s="86">
        <v>0</v>
      </c>
      <c r="H50" s="117" t="str">
        <f t="shared" si="15"/>
        <v>NA</v>
      </c>
      <c r="I50" s="88" t="str">
        <f t="shared" si="1"/>
        <v>NA</v>
      </c>
      <c r="J50" s="55">
        <v>0</v>
      </c>
      <c r="K50" s="117" t="str">
        <f t="shared" si="16"/>
        <v>NA</v>
      </c>
      <c r="L50" s="88" t="str">
        <f t="shared" si="3"/>
        <v>NA</v>
      </c>
      <c r="M50" s="55">
        <v>0</v>
      </c>
      <c r="N50" s="117" t="str">
        <f t="shared" si="17"/>
        <v>NA</v>
      </c>
      <c r="O50" s="88" t="str">
        <f t="shared" si="2"/>
        <v>NA</v>
      </c>
      <c r="P50" s="57">
        <v>0</v>
      </c>
      <c r="Q50" s="117" t="str">
        <f t="shared" si="18"/>
        <v>NA</v>
      </c>
    </row>
    <row r="51" spans="1:17" x14ac:dyDescent="0.2">
      <c r="A51" s="255" t="s">
        <v>117</v>
      </c>
      <c r="B51" s="255"/>
      <c r="C51" s="255"/>
      <c r="D51" s="86">
        <v>0</v>
      </c>
      <c r="E51" s="117" t="str">
        <f t="shared" si="14"/>
        <v>NA</v>
      </c>
      <c r="F51" s="88" t="str">
        <f t="shared" si="0"/>
        <v>NA</v>
      </c>
      <c r="G51" s="86">
        <v>0</v>
      </c>
      <c r="H51" s="117" t="str">
        <f t="shared" si="15"/>
        <v>NA</v>
      </c>
      <c r="I51" s="88" t="str">
        <f t="shared" si="1"/>
        <v>NA</v>
      </c>
      <c r="J51" s="55">
        <v>0</v>
      </c>
      <c r="K51" s="117" t="str">
        <f t="shared" si="16"/>
        <v>NA</v>
      </c>
      <c r="L51" s="88" t="str">
        <f t="shared" si="3"/>
        <v>NA</v>
      </c>
      <c r="M51" s="55">
        <v>0</v>
      </c>
      <c r="N51" s="117" t="str">
        <f t="shared" si="17"/>
        <v>NA</v>
      </c>
      <c r="O51" s="88" t="str">
        <f t="shared" si="2"/>
        <v>NA</v>
      </c>
      <c r="P51" s="55">
        <v>0</v>
      </c>
      <c r="Q51" s="117" t="str">
        <f t="shared" si="18"/>
        <v>NA</v>
      </c>
    </row>
    <row r="52" spans="1:17" x14ac:dyDescent="0.2">
      <c r="A52" s="255" t="s">
        <v>53</v>
      </c>
      <c r="B52" s="255"/>
      <c r="C52" s="255"/>
      <c r="D52" s="86">
        <v>0</v>
      </c>
      <c r="E52" s="117" t="str">
        <f t="shared" si="14"/>
        <v>NA</v>
      </c>
      <c r="F52" s="88" t="str">
        <f t="shared" si="0"/>
        <v>NA</v>
      </c>
      <c r="G52" s="86">
        <v>0</v>
      </c>
      <c r="H52" s="117" t="str">
        <f t="shared" si="15"/>
        <v>NA</v>
      </c>
      <c r="I52" s="88" t="str">
        <f t="shared" si="1"/>
        <v>NA</v>
      </c>
      <c r="J52" s="55">
        <v>0</v>
      </c>
      <c r="K52" s="117" t="str">
        <f t="shared" si="16"/>
        <v>NA</v>
      </c>
      <c r="L52" s="88" t="str">
        <f t="shared" si="3"/>
        <v>NA</v>
      </c>
      <c r="M52" s="55">
        <v>0</v>
      </c>
      <c r="N52" s="117" t="str">
        <f t="shared" si="17"/>
        <v>NA</v>
      </c>
      <c r="O52" s="88" t="str">
        <f t="shared" si="2"/>
        <v>NA</v>
      </c>
      <c r="P52" s="55">
        <v>0</v>
      </c>
      <c r="Q52" s="117" t="str">
        <f t="shared" si="18"/>
        <v>NA</v>
      </c>
    </row>
    <row r="53" spans="1:17" s="119" customFormat="1" x14ac:dyDescent="0.2">
      <c r="A53" s="231" t="s">
        <v>15</v>
      </c>
      <c r="B53" s="231"/>
      <c r="C53" s="231"/>
      <c r="D53" s="104">
        <v>0</v>
      </c>
      <c r="E53" s="118"/>
      <c r="F53" s="93" t="str">
        <f t="shared" si="0"/>
        <v>NA</v>
      </c>
      <c r="G53" s="104">
        <v>0</v>
      </c>
      <c r="H53" s="118"/>
      <c r="I53" s="93" t="str">
        <f t="shared" si="1"/>
        <v>NA</v>
      </c>
      <c r="J53" s="57">
        <v>0</v>
      </c>
      <c r="K53" s="118"/>
      <c r="L53" s="93" t="str">
        <f t="shared" si="3"/>
        <v>NA</v>
      </c>
      <c r="M53" s="57">
        <v>0</v>
      </c>
      <c r="N53" s="118"/>
      <c r="O53" s="93" t="str">
        <f t="shared" si="2"/>
        <v>NA</v>
      </c>
      <c r="P53" s="55">
        <v>0</v>
      </c>
      <c r="Q53" s="118"/>
    </row>
    <row r="54" spans="1:17" s="119" customFormat="1" ht="11.25" x14ac:dyDescent="0.2">
      <c r="A54" s="120"/>
      <c r="B54" s="120"/>
      <c r="C54" s="120"/>
      <c r="D54" s="104"/>
      <c r="E54" s="118"/>
      <c r="F54" s="93"/>
      <c r="G54" s="104"/>
      <c r="H54" s="118"/>
      <c r="I54" s="93"/>
      <c r="J54" s="104"/>
      <c r="K54" s="118"/>
      <c r="L54" s="93"/>
      <c r="M54" s="104"/>
      <c r="N54" s="118"/>
      <c r="O54" s="93"/>
      <c r="P54" s="57">
        <v>0</v>
      </c>
      <c r="Q54" s="118"/>
    </row>
    <row r="55" spans="1:17" s="119" customFormat="1" ht="21.75" customHeight="1" x14ac:dyDescent="0.2">
      <c r="A55" s="263" t="s">
        <v>116</v>
      </c>
      <c r="B55" s="263"/>
      <c r="C55" s="264"/>
      <c r="D55" s="121">
        <f>D47-D11</f>
        <v>0</v>
      </c>
      <c r="E55" s="122" t="str">
        <f>IF(D45=0,"",D55/D45)</f>
        <v/>
      </c>
      <c r="F55" s="123"/>
      <c r="G55" s="121">
        <f>G47-G11</f>
        <v>0</v>
      </c>
      <c r="H55" s="122" t="str">
        <f>IF(G45=0,"",G55/G45)</f>
        <v/>
      </c>
      <c r="I55" s="123"/>
      <c r="J55" s="121">
        <f>J47-J11</f>
        <v>0</v>
      </c>
      <c r="K55" s="122" t="str">
        <f>IF(J45=0,"",J55/J45)</f>
        <v/>
      </c>
      <c r="L55" s="123"/>
      <c r="M55" s="121">
        <f>M47-M11</f>
        <v>0</v>
      </c>
      <c r="N55" s="122" t="str">
        <f>IF(M45=0,"",M55/M45)</f>
        <v/>
      </c>
      <c r="O55" s="123"/>
      <c r="P55" s="121">
        <f>P47-P11</f>
        <v>0</v>
      </c>
      <c r="Q55" s="122" t="str">
        <f>IF(P45=0,"",P55/P45)</f>
        <v/>
      </c>
    </row>
    <row r="56" spans="1:17" s="74" customFormat="1" x14ac:dyDescent="0.2">
      <c r="A56" s="243"/>
      <c r="B56" s="243"/>
      <c r="C56" s="243"/>
      <c r="D56" s="124"/>
      <c r="E56" s="111"/>
      <c r="F56" s="125"/>
      <c r="G56" s="124"/>
      <c r="H56" s="111"/>
      <c r="I56" s="88"/>
      <c r="J56" s="124"/>
      <c r="K56" s="111"/>
      <c r="L56" s="88"/>
      <c r="M56" s="124"/>
      <c r="N56" s="111"/>
      <c r="O56" s="88"/>
      <c r="P56" s="124"/>
      <c r="Q56" s="111"/>
    </row>
    <row r="57" spans="1:17" s="82" customFormat="1" ht="12.75" x14ac:dyDescent="0.2">
      <c r="A57" s="235" t="s">
        <v>43</v>
      </c>
      <c r="B57" s="236"/>
      <c r="C57" s="261"/>
      <c r="D57" s="167">
        <v>0</v>
      </c>
      <c r="E57" s="165" t="str">
        <f t="shared" si="14"/>
        <v>NA</v>
      </c>
      <c r="F57" s="166" t="str">
        <f t="shared" si="0"/>
        <v>NA</v>
      </c>
      <c r="G57" s="167">
        <v>0</v>
      </c>
      <c r="H57" s="165" t="str">
        <f t="shared" si="15"/>
        <v>NA</v>
      </c>
      <c r="I57" s="166" t="str">
        <f t="shared" si="1"/>
        <v>NA</v>
      </c>
      <c r="J57" s="167">
        <v>0</v>
      </c>
      <c r="K57" s="165" t="str">
        <f t="shared" si="16"/>
        <v>NA</v>
      </c>
      <c r="L57" s="166" t="str">
        <f t="shared" si="3"/>
        <v>NA</v>
      </c>
      <c r="M57" s="167">
        <v>0</v>
      </c>
      <c r="N57" s="165" t="str">
        <f t="shared" si="17"/>
        <v>NA</v>
      </c>
      <c r="O57" s="166" t="str">
        <f t="shared" si="2"/>
        <v>NA</v>
      </c>
      <c r="P57" s="167">
        <v>0</v>
      </c>
      <c r="Q57" s="165" t="str">
        <f t="shared" si="18"/>
        <v>NA</v>
      </c>
    </row>
    <row r="58" spans="1:17" s="74" customFormat="1" x14ac:dyDescent="0.2">
      <c r="A58" s="237"/>
      <c r="B58" s="237"/>
      <c r="C58" s="238"/>
      <c r="D58" s="90"/>
      <c r="E58" s="111"/>
      <c r="F58" s="88"/>
      <c r="G58" s="90"/>
      <c r="H58" s="111"/>
      <c r="I58" s="88"/>
      <c r="J58" s="90"/>
      <c r="K58" s="111"/>
      <c r="L58" s="88"/>
      <c r="M58" s="90"/>
      <c r="N58" s="111"/>
      <c r="O58" s="88"/>
      <c r="P58" s="90"/>
      <c r="Q58" s="111"/>
    </row>
    <row r="59" spans="1:17" s="126" customFormat="1" ht="12.75" x14ac:dyDescent="0.2">
      <c r="A59" s="248" t="s">
        <v>17</v>
      </c>
      <c r="B59" s="249"/>
      <c r="C59" s="249"/>
      <c r="D59" s="167">
        <v>0</v>
      </c>
      <c r="E59" s="168" t="str">
        <f t="shared" si="14"/>
        <v>NA</v>
      </c>
      <c r="F59" s="166" t="str">
        <f t="shared" si="0"/>
        <v>NA</v>
      </c>
      <c r="G59" s="167">
        <v>0</v>
      </c>
      <c r="H59" s="168" t="str">
        <f t="shared" si="15"/>
        <v>NA</v>
      </c>
      <c r="I59" s="166" t="str">
        <f t="shared" si="1"/>
        <v>NA</v>
      </c>
      <c r="J59" s="167">
        <v>0</v>
      </c>
      <c r="K59" s="168" t="str">
        <f t="shared" si="16"/>
        <v>NA</v>
      </c>
      <c r="L59" s="166" t="str">
        <f t="shared" si="3"/>
        <v>NA</v>
      </c>
      <c r="M59" s="167">
        <v>0</v>
      </c>
      <c r="N59" s="168" t="str">
        <f t="shared" si="17"/>
        <v>NA</v>
      </c>
      <c r="O59" s="166" t="str">
        <f t="shared" si="2"/>
        <v>NA</v>
      </c>
      <c r="P59" s="167">
        <v>0</v>
      </c>
      <c r="Q59" s="168" t="str">
        <f t="shared" si="18"/>
        <v>NA</v>
      </c>
    </row>
    <row r="60" spans="1:17" s="74" customFormat="1" x14ac:dyDescent="0.2">
      <c r="A60" s="243"/>
      <c r="B60" s="243"/>
      <c r="C60" s="243"/>
      <c r="D60" s="90"/>
      <c r="E60" s="111"/>
      <c r="F60" s="88"/>
      <c r="G60" s="90"/>
      <c r="H60" s="111"/>
      <c r="I60" s="88"/>
      <c r="J60" s="90"/>
      <c r="K60" s="111"/>
      <c r="L60" s="88"/>
      <c r="M60" s="90"/>
      <c r="N60" s="111"/>
      <c r="O60" s="88"/>
      <c r="P60" s="90"/>
      <c r="Q60" s="111"/>
    </row>
    <row r="61" spans="1:17" s="126" customFormat="1" ht="12.75" x14ac:dyDescent="0.2">
      <c r="A61" s="248" t="s">
        <v>16</v>
      </c>
      <c r="B61" s="249"/>
      <c r="C61" s="249"/>
      <c r="D61" s="172">
        <f>D62+D63+D64</f>
        <v>0</v>
      </c>
      <c r="E61" s="168" t="str">
        <f t="shared" si="14"/>
        <v>NA</v>
      </c>
      <c r="F61" s="166" t="str">
        <f t="shared" si="0"/>
        <v>NA</v>
      </c>
      <c r="G61" s="172">
        <f>G62+G63+G64</f>
        <v>0</v>
      </c>
      <c r="H61" s="168" t="str">
        <f t="shared" si="15"/>
        <v>NA</v>
      </c>
      <c r="I61" s="166" t="str">
        <f t="shared" si="1"/>
        <v>NA</v>
      </c>
      <c r="J61" s="172">
        <f>J62+J63+J64</f>
        <v>0</v>
      </c>
      <c r="K61" s="168" t="str">
        <f t="shared" si="16"/>
        <v>NA</v>
      </c>
      <c r="L61" s="166" t="str">
        <f t="shared" si="3"/>
        <v>NA</v>
      </c>
      <c r="M61" s="172">
        <f>M62+M63+M64</f>
        <v>0</v>
      </c>
      <c r="N61" s="168" t="str">
        <f t="shared" si="17"/>
        <v>NA</v>
      </c>
      <c r="O61" s="166" t="str">
        <f t="shared" si="2"/>
        <v>NA</v>
      </c>
      <c r="P61" s="172">
        <f>P62+P63+P64</f>
        <v>0</v>
      </c>
      <c r="Q61" s="168" t="str">
        <f t="shared" si="18"/>
        <v>NA</v>
      </c>
    </row>
    <row r="62" spans="1:17" s="68" customFormat="1" ht="12.75" x14ac:dyDescent="0.2">
      <c r="A62" s="262" t="s">
        <v>44</v>
      </c>
      <c r="B62" s="262"/>
      <c r="C62" s="262"/>
      <c r="D62" s="127">
        <v>0</v>
      </c>
      <c r="E62" s="128" t="str">
        <f t="shared" si="14"/>
        <v>NA</v>
      </c>
      <c r="F62" s="129" t="str">
        <f t="shared" si="0"/>
        <v>NA</v>
      </c>
      <c r="G62" s="127">
        <v>0</v>
      </c>
      <c r="H62" s="128" t="str">
        <f t="shared" si="15"/>
        <v>NA</v>
      </c>
      <c r="I62" s="129" t="str">
        <f t="shared" si="1"/>
        <v>NA</v>
      </c>
      <c r="J62" s="127">
        <v>0</v>
      </c>
      <c r="K62" s="128" t="str">
        <f t="shared" si="16"/>
        <v>NA</v>
      </c>
      <c r="L62" s="129" t="str">
        <f t="shared" si="3"/>
        <v>NA</v>
      </c>
      <c r="M62" s="127">
        <v>0</v>
      </c>
      <c r="N62" s="128" t="str">
        <f t="shared" si="17"/>
        <v>NA</v>
      </c>
      <c r="O62" s="129" t="str">
        <f t="shared" si="2"/>
        <v>NA</v>
      </c>
      <c r="P62" s="127">
        <v>0</v>
      </c>
      <c r="Q62" s="128" t="str">
        <f t="shared" si="18"/>
        <v>NA</v>
      </c>
    </row>
    <row r="63" spans="1:17" s="68" customFormat="1" ht="12.75" x14ac:dyDescent="0.2">
      <c r="A63" s="257" t="s">
        <v>45</v>
      </c>
      <c r="B63" s="258"/>
      <c r="C63" s="258"/>
      <c r="D63" s="130">
        <v>0</v>
      </c>
      <c r="E63" s="131" t="str">
        <f t="shared" si="14"/>
        <v>NA</v>
      </c>
      <c r="F63" s="132" t="str">
        <f t="shared" si="0"/>
        <v>NA</v>
      </c>
      <c r="G63" s="130">
        <v>0</v>
      </c>
      <c r="H63" s="131" t="str">
        <f t="shared" si="15"/>
        <v>NA</v>
      </c>
      <c r="I63" s="132" t="str">
        <f t="shared" si="1"/>
        <v>NA</v>
      </c>
      <c r="J63" s="130">
        <v>0</v>
      </c>
      <c r="K63" s="131" t="str">
        <f t="shared" si="16"/>
        <v>NA</v>
      </c>
      <c r="L63" s="132" t="str">
        <f t="shared" si="3"/>
        <v>NA</v>
      </c>
      <c r="M63" s="130">
        <v>0</v>
      </c>
      <c r="N63" s="131" t="str">
        <f t="shared" si="17"/>
        <v>NA</v>
      </c>
      <c r="O63" s="132" t="str">
        <f t="shared" si="2"/>
        <v>NA</v>
      </c>
      <c r="P63" s="130">
        <v>0</v>
      </c>
      <c r="Q63" s="131" t="str">
        <f t="shared" si="18"/>
        <v>NA</v>
      </c>
    </row>
    <row r="64" spans="1:17" s="68" customFormat="1" ht="12.75" x14ac:dyDescent="0.2">
      <c r="A64" s="259" t="s">
        <v>46</v>
      </c>
      <c r="B64" s="260"/>
      <c r="C64" s="260"/>
      <c r="D64" s="133">
        <v>0</v>
      </c>
      <c r="E64" s="134" t="str">
        <f t="shared" si="14"/>
        <v>NA</v>
      </c>
      <c r="F64" s="135" t="str">
        <f t="shared" si="0"/>
        <v>NA</v>
      </c>
      <c r="G64" s="133">
        <v>0</v>
      </c>
      <c r="H64" s="134" t="str">
        <f t="shared" si="15"/>
        <v>NA</v>
      </c>
      <c r="I64" s="135" t="str">
        <f t="shared" si="1"/>
        <v>NA</v>
      </c>
      <c r="J64" s="133">
        <v>0</v>
      </c>
      <c r="K64" s="134" t="str">
        <f t="shared" si="16"/>
        <v>NA</v>
      </c>
      <c r="L64" s="135" t="str">
        <f t="shared" si="3"/>
        <v>NA</v>
      </c>
      <c r="M64" s="133">
        <v>0</v>
      </c>
      <c r="N64" s="134" t="str">
        <f t="shared" si="17"/>
        <v>NA</v>
      </c>
      <c r="O64" s="135" t="str">
        <f t="shared" si="2"/>
        <v>NA</v>
      </c>
      <c r="P64" s="133">
        <v>0</v>
      </c>
      <c r="Q64" s="134" t="str">
        <f t="shared" si="18"/>
        <v>NA</v>
      </c>
    </row>
    <row r="65" spans="1:17" s="74" customFormat="1" x14ac:dyDescent="0.2">
      <c r="A65" s="243"/>
      <c r="B65" s="243"/>
      <c r="C65" s="243"/>
      <c r="D65" s="90"/>
      <c r="E65" s="91"/>
      <c r="F65" s="88"/>
      <c r="G65" s="90"/>
      <c r="H65" s="91"/>
      <c r="I65" s="88"/>
      <c r="J65" s="90"/>
      <c r="K65" s="91"/>
      <c r="L65" s="88"/>
      <c r="M65" s="90"/>
      <c r="N65" s="91"/>
      <c r="O65" s="88"/>
      <c r="P65" s="90"/>
      <c r="Q65" s="91"/>
    </row>
    <row r="66" spans="1:17" s="82" customFormat="1" ht="12.75" x14ac:dyDescent="0.2">
      <c r="A66" s="235" t="s">
        <v>18</v>
      </c>
      <c r="B66" s="236"/>
      <c r="C66" s="236"/>
      <c r="D66" s="164">
        <f>D67+D78</f>
        <v>0</v>
      </c>
      <c r="E66" s="165" t="str">
        <f t="shared" si="14"/>
        <v>NA</v>
      </c>
      <c r="F66" s="166" t="str">
        <f t="shared" si="0"/>
        <v>NA</v>
      </c>
      <c r="G66" s="164">
        <f>G67+G78</f>
        <v>0</v>
      </c>
      <c r="H66" s="165" t="str">
        <f t="shared" si="15"/>
        <v>NA</v>
      </c>
      <c r="I66" s="166" t="str">
        <f t="shared" si="1"/>
        <v>NA</v>
      </c>
      <c r="J66" s="164">
        <f>J67+J78</f>
        <v>0</v>
      </c>
      <c r="K66" s="165" t="str">
        <f t="shared" si="16"/>
        <v>NA</v>
      </c>
      <c r="L66" s="166" t="str">
        <f t="shared" si="3"/>
        <v>NA</v>
      </c>
      <c r="M66" s="164">
        <f>M67+M78</f>
        <v>0</v>
      </c>
      <c r="N66" s="165" t="str">
        <f t="shared" si="17"/>
        <v>NA</v>
      </c>
      <c r="O66" s="166" t="str">
        <f t="shared" si="2"/>
        <v>NA</v>
      </c>
      <c r="P66" s="164">
        <f>P67+P78</f>
        <v>0</v>
      </c>
      <c r="Q66" s="165" t="str">
        <f t="shared" si="18"/>
        <v>NA</v>
      </c>
    </row>
    <row r="67" spans="1:17" s="74" customFormat="1" x14ac:dyDescent="0.2">
      <c r="A67" s="237" t="s">
        <v>47</v>
      </c>
      <c r="B67" s="237"/>
      <c r="C67" s="237"/>
      <c r="D67" s="83">
        <f>D68+D69+D71+D74+D75+D76+D70</f>
        <v>0</v>
      </c>
      <c r="E67" s="84" t="str">
        <f t="shared" si="14"/>
        <v>NA</v>
      </c>
      <c r="F67" s="85" t="str">
        <f t="shared" si="0"/>
        <v>NA</v>
      </c>
      <c r="G67" s="83">
        <f>G68+G69+G71+G74+G75+G76+G70</f>
        <v>0</v>
      </c>
      <c r="H67" s="84" t="str">
        <f t="shared" si="15"/>
        <v>NA</v>
      </c>
      <c r="I67" s="85" t="str">
        <f t="shared" si="1"/>
        <v>NA</v>
      </c>
      <c r="J67" s="83">
        <f>J68+J69+J71+J74+J75+J76+J70</f>
        <v>0</v>
      </c>
      <c r="K67" s="84" t="str">
        <f t="shared" si="16"/>
        <v>NA</v>
      </c>
      <c r="L67" s="85" t="str">
        <f t="shared" si="3"/>
        <v>NA</v>
      </c>
      <c r="M67" s="83">
        <f>M68+M69+M71+M74+M75+M76+M70</f>
        <v>0</v>
      </c>
      <c r="N67" s="84" t="str">
        <f t="shared" si="17"/>
        <v>NA</v>
      </c>
      <c r="O67" s="85" t="str">
        <f t="shared" si="2"/>
        <v>NA</v>
      </c>
      <c r="P67" s="83">
        <f>P68+P69+P71+P74+P75+P76+P70</f>
        <v>0</v>
      </c>
      <c r="Q67" s="84" t="str">
        <f t="shared" si="18"/>
        <v>NA</v>
      </c>
    </row>
    <row r="68" spans="1:17" s="97" customFormat="1" ht="11.25" x14ac:dyDescent="0.2">
      <c r="A68" s="229" t="s">
        <v>48</v>
      </c>
      <c r="B68" s="229"/>
      <c r="C68" s="242"/>
      <c r="D68" s="92">
        <v>0</v>
      </c>
      <c r="E68" s="103" t="str">
        <f t="shared" si="14"/>
        <v>NA</v>
      </c>
      <c r="F68" s="93" t="str">
        <f t="shared" si="0"/>
        <v>NA</v>
      </c>
      <c r="G68" s="92">
        <v>0</v>
      </c>
      <c r="H68" s="103" t="str">
        <f t="shared" si="15"/>
        <v>NA</v>
      </c>
      <c r="I68" s="93" t="str">
        <f t="shared" si="1"/>
        <v>NA</v>
      </c>
      <c r="J68" s="92">
        <v>0</v>
      </c>
      <c r="K68" s="103" t="str">
        <f t="shared" si="16"/>
        <v>NA</v>
      </c>
      <c r="L68" s="93" t="str">
        <f t="shared" si="3"/>
        <v>NA</v>
      </c>
      <c r="M68" s="92">
        <v>0</v>
      </c>
      <c r="N68" s="103" t="str">
        <f t="shared" si="17"/>
        <v>NA</v>
      </c>
      <c r="O68" s="93" t="str">
        <f t="shared" si="2"/>
        <v>NA</v>
      </c>
      <c r="P68" s="92">
        <v>0</v>
      </c>
      <c r="Q68" s="103" t="str">
        <f t="shared" si="18"/>
        <v>NA</v>
      </c>
    </row>
    <row r="69" spans="1:17" s="97" customFormat="1" ht="11.25" x14ac:dyDescent="0.2">
      <c r="A69" s="136" t="s">
        <v>52</v>
      </c>
      <c r="B69" s="136"/>
      <c r="C69" s="137"/>
      <c r="D69" s="92">
        <v>0</v>
      </c>
      <c r="E69" s="103" t="str">
        <f t="shared" si="14"/>
        <v>NA</v>
      </c>
      <c r="F69" s="93" t="str">
        <f t="shared" si="0"/>
        <v>NA</v>
      </c>
      <c r="G69" s="92">
        <v>0</v>
      </c>
      <c r="H69" s="103" t="str">
        <f t="shared" si="15"/>
        <v>NA</v>
      </c>
      <c r="I69" s="93" t="str">
        <f t="shared" si="1"/>
        <v>NA</v>
      </c>
      <c r="J69" s="92">
        <v>0</v>
      </c>
      <c r="K69" s="103" t="str">
        <f t="shared" si="16"/>
        <v>NA</v>
      </c>
      <c r="L69" s="93" t="str">
        <f t="shared" si="3"/>
        <v>NA</v>
      </c>
      <c r="M69" s="92">
        <v>0</v>
      </c>
      <c r="N69" s="103" t="str">
        <f t="shared" si="17"/>
        <v>NA</v>
      </c>
      <c r="O69" s="93" t="str">
        <f t="shared" si="2"/>
        <v>NA</v>
      </c>
      <c r="P69" s="92">
        <v>0</v>
      </c>
      <c r="Q69" s="103" t="str">
        <f t="shared" si="18"/>
        <v>NA</v>
      </c>
    </row>
    <row r="70" spans="1:17" s="97" customFormat="1" ht="11.25" x14ac:dyDescent="0.2">
      <c r="A70" s="229" t="s">
        <v>100</v>
      </c>
      <c r="B70" s="229"/>
      <c r="C70" s="242"/>
      <c r="D70" s="92">
        <v>0</v>
      </c>
      <c r="E70" s="103" t="str">
        <f t="shared" si="14"/>
        <v>NA</v>
      </c>
      <c r="F70" s="93" t="str">
        <f t="shared" si="0"/>
        <v>NA</v>
      </c>
      <c r="G70" s="92">
        <v>0</v>
      </c>
      <c r="H70" s="103" t="str">
        <f t="shared" si="15"/>
        <v>NA</v>
      </c>
      <c r="I70" s="93" t="str">
        <f t="shared" si="1"/>
        <v>NA</v>
      </c>
      <c r="J70" s="92">
        <v>0</v>
      </c>
      <c r="K70" s="103" t="str">
        <f t="shared" si="16"/>
        <v>NA</v>
      </c>
      <c r="L70" s="93" t="str">
        <f t="shared" si="3"/>
        <v>NA</v>
      </c>
      <c r="M70" s="92">
        <v>0</v>
      </c>
      <c r="N70" s="103" t="str">
        <f t="shared" si="17"/>
        <v>NA</v>
      </c>
      <c r="O70" s="93" t="str">
        <f t="shared" si="2"/>
        <v>NA</v>
      </c>
      <c r="P70" s="92">
        <v>0</v>
      </c>
      <c r="Q70" s="103" t="str">
        <f t="shared" si="18"/>
        <v>NA</v>
      </c>
    </row>
    <row r="71" spans="1:17" s="102" customFormat="1" ht="11.25" x14ac:dyDescent="0.2">
      <c r="A71" s="227" t="s">
        <v>101</v>
      </c>
      <c r="B71" s="227"/>
      <c r="C71" s="227"/>
      <c r="D71" s="100">
        <f>D72+D73</f>
        <v>0</v>
      </c>
      <c r="E71" s="101" t="str">
        <f t="shared" si="14"/>
        <v>NA</v>
      </c>
      <c r="F71" s="93" t="str">
        <f t="shared" si="0"/>
        <v>NA</v>
      </c>
      <c r="G71" s="100">
        <f>G72+G73</f>
        <v>0</v>
      </c>
      <c r="H71" s="101" t="str">
        <f t="shared" si="15"/>
        <v>NA</v>
      </c>
      <c r="I71" s="93" t="str">
        <f t="shared" si="1"/>
        <v>NA</v>
      </c>
      <c r="J71" s="100">
        <f>J72+J73</f>
        <v>0</v>
      </c>
      <c r="K71" s="101" t="str">
        <f t="shared" si="16"/>
        <v>NA</v>
      </c>
      <c r="L71" s="93" t="str">
        <f t="shared" si="3"/>
        <v>NA</v>
      </c>
      <c r="M71" s="100">
        <f>M72+M73</f>
        <v>0</v>
      </c>
      <c r="N71" s="101" t="str">
        <f t="shared" si="17"/>
        <v>NA</v>
      </c>
      <c r="O71" s="93" t="str">
        <f t="shared" si="2"/>
        <v>NA</v>
      </c>
      <c r="P71" s="100">
        <f>P72+P73</f>
        <v>0</v>
      </c>
      <c r="Q71" s="101" t="str">
        <f t="shared" si="18"/>
        <v>NA</v>
      </c>
    </row>
    <row r="72" spans="1:17" s="119" customFormat="1" ht="11.25" x14ac:dyDescent="0.2">
      <c r="A72" s="230" t="s">
        <v>39</v>
      </c>
      <c r="B72" s="230"/>
      <c r="C72" s="231"/>
      <c r="D72" s="104">
        <v>0</v>
      </c>
      <c r="E72" s="138" t="str">
        <f t="shared" si="14"/>
        <v>NA</v>
      </c>
      <c r="F72" s="93" t="str">
        <f t="shared" si="0"/>
        <v>NA</v>
      </c>
      <c r="G72" s="104">
        <v>0</v>
      </c>
      <c r="H72" s="138" t="str">
        <f t="shared" si="15"/>
        <v>NA</v>
      </c>
      <c r="I72" s="93" t="str">
        <f t="shared" si="1"/>
        <v>NA</v>
      </c>
      <c r="J72" s="104">
        <v>0</v>
      </c>
      <c r="K72" s="138" t="str">
        <f t="shared" si="16"/>
        <v>NA</v>
      </c>
      <c r="L72" s="93" t="str">
        <f t="shared" si="3"/>
        <v>NA</v>
      </c>
      <c r="M72" s="104">
        <v>0</v>
      </c>
      <c r="N72" s="138" t="str">
        <f t="shared" si="17"/>
        <v>NA</v>
      </c>
      <c r="O72" s="93" t="str">
        <f t="shared" si="2"/>
        <v>NA</v>
      </c>
      <c r="P72" s="104">
        <v>0</v>
      </c>
      <c r="Q72" s="138" t="str">
        <f t="shared" si="18"/>
        <v>NA</v>
      </c>
    </row>
    <row r="73" spans="1:17" s="119" customFormat="1" ht="11.25" x14ac:dyDescent="0.2">
      <c r="A73" s="230" t="s">
        <v>49</v>
      </c>
      <c r="B73" s="230"/>
      <c r="C73" s="231"/>
      <c r="D73" s="104">
        <v>0</v>
      </c>
      <c r="E73" s="138" t="str">
        <f t="shared" si="14"/>
        <v>NA</v>
      </c>
      <c r="F73" s="93" t="str">
        <f t="shared" si="0"/>
        <v>NA</v>
      </c>
      <c r="G73" s="104">
        <v>0</v>
      </c>
      <c r="H73" s="138" t="str">
        <f t="shared" si="15"/>
        <v>NA</v>
      </c>
      <c r="I73" s="93" t="str">
        <f t="shared" si="1"/>
        <v>NA</v>
      </c>
      <c r="J73" s="104">
        <v>0</v>
      </c>
      <c r="K73" s="138" t="str">
        <f t="shared" si="16"/>
        <v>NA</v>
      </c>
      <c r="L73" s="93" t="str">
        <f t="shared" si="3"/>
        <v>NA</v>
      </c>
      <c r="M73" s="104">
        <v>0</v>
      </c>
      <c r="N73" s="138" t="str">
        <f t="shared" si="17"/>
        <v>NA</v>
      </c>
      <c r="O73" s="93" t="str">
        <f t="shared" si="2"/>
        <v>NA</v>
      </c>
      <c r="P73" s="104">
        <v>0</v>
      </c>
      <c r="Q73" s="138" t="str">
        <f t="shared" si="18"/>
        <v>NA</v>
      </c>
    </row>
    <row r="74" spans="1:17" s="97" customFormat="1" ht="11.25" x14ac:dyDescent="0.2">
      <c r="A74" s="229" t="s">
        <v>102</v>
      </c>
      <c r="B74" s="229"/>
      <c r="C74" s="229"/>
      <c r="D74" s="92">
        <v>0</v>
      </c>
      <c r="E74" s="103" t="str">
        <f t="shared" si="14"/>
        <v>NA</v>
      </c>
      <c r="F74" s="93" t="str">
        <f t="shared" si="0"/>
        <v>NA</v>
      </c>
      <c r="G74" s="92">
        <v>0</v>
      </c>
      <c r="H74" s="103" t="str">
        <f t="shared" si="15"/>
        <v>NA</v>
      </c>
      <c r="I74" s="93" t="str">
        <f t="shared" si="1"/>
        <v>NA</v>
      </c>
      <c r="J74" s="92">
        <v>0</v>
      </c>
      <c r="K74" s="103" t="str">
        <f t="shared" si="16"/>
        <v>NA</v>
      </c>
      <c r="L74" s="93" t="str">
        <f t="shared" si="3"/>
        <v>NA</v>
      </c>
      <c r="M74" s="92">
        <v>0</v>
      </c>
      <c r="N74" s="103" t="str">
        <f t="shared" si="17"/>
        <v>NA</v>
      </c>
      <c r="O74" s="93" t="str">
        <f t="shared" si="2"/>
        <v>NA</v>
      </c>
      <c r="P74" s="92">
        <v>0</v>
      </c>
      <c r="Q74" s="103" t="str">
        <f t="shared" si="18"/>
        <v>NA</v>
      </c>
    </row>
    <row r="75" spans="1:17" s="97" customFormat="1" ht="11.25" x14ac:dyDescent="0.2">
      <c r="A75" s="229" t="s">
        <v>103</v>
      </c>
      <c r="B75" s="229"/>
      <c r="C75" s="229"/>
      <c r="D75" s="92">
        <v>0</v>
      </c>
      <c r="E75" s="103" t="str">
        <f t="shared" si="14"/>
        <v>NA</v>
      </c>
      <c r="F75" s="93" t="str">
        <f t="shared" si="0"/>
        <v>NA</v>
      </c>
      <c r="G75" s="92">
        <v>0</v>
      </c>
      <c r="H75" s="103" t="str">
        <f t="shared" si="15"/>
        <v>NA</v>
      </c>
      <c r="I75" s="93" t="str">
        <f t="shared" si="1"/>
        <v>NA</v>
      </c>
      <c r="J75" s="92">
        <v>0</v>
      </c>
      <c r="K75" s="103" t="str">
        <f t="shared" si="16"/>
        <v>NA</v>
      </c>
      <c r="L75" s="93" t="str">
        <f t="shared" si="3"/>
        <v>NA</v>
      </c>
      <c r="M75" s="92">
        <v>0</v>
      </c>
      <c r="N75" s="103" t="str">
        <f t="shared" si="17"/>
        <v>NA</v>
      </c>
      <c r="O75" s="93" t="str">
        <f t="shared" si="2"/>
        <v>NA</v>
      </c>
      <c r="P75" s="92">
        <v>0</v>
      </c>
      <c r="Q75" s="103" t="str">
        <f t="shared" si="18"/>
        <v>NA</v>
      </c>
    </row>
    <row r="76" spans="1:17" s="97" customFormat="1" ht="11.25" x14ac:dyDescent="0.2">
      <c r="A76" s="229" t="s">
        <v>104</v>
      </c>
      <c r="B76" s="229"/>
      <c r="C76" s="229"/>
      <c r="D76" s="92">
        <v>0</v>
      </c>
      <c r="E76" s="103" t="str">
        <f t="shared" si="14"/>
        <v>NA</v>
      </c>
      <c r="F76" s="93" t="str">
        <f t="shared" si="0"/>
        <v>NA</v>
      </c>
      <c r="G76" s="92">
        <v>0</v>
      </c>
      <c r="H76" s="103" t="str">
        <f t="shared" si="15"/>
        <v>NA</v>
      </c>
      <c r="I76" s="93" t="str">
        <f t="shared" si="1"/>
        <v>NA</v>
      </c>
      <c r="J76" s="92">
        <v>0</v>
      </c>
      <c r="K76" s="103" t="str">
        <f t="shared" si="16"/>
        <v>NA</v>
      </c>
      <c r="L76" s="93" t="str">
        <f t="shared" si="3"/>
        <v>NA</v>
      </c>
      <c r="M76" s="92">
        <v>0</v>
      </c>
      <c r="N76" s="103" t="str">
        <f t="shared" si="17"/>
        <v>NA</v>
      </c>
      <c r="O76" s="93" t="str">
        <f t="shared" si="2"/>
        <v>NA</v>
      </c>
      <c r="P76" s="92">
        <v>0</v>
      </c>
      <c r="Q76" s="103" t="str">
        <f t="shared" si="18"/>
        <v>NA</v>
      </c>
    </row>
    <row r="77" spans="1:17" s="140" customFormat="1" ht="12.75" x14ac:dyDescent="0.2">
      <c r="A77" s="98"/>
      <c r="B77" s="98"/>
      <c r="C77" s="98"/>
      <c r="D77" s="139"/>
      <c r="E77" s="101"/>
      <c r="F77" s="129"/>
      <c r="G77" s="139"/>
      <c r="H77" s="101"/>
      <c r="I77" s="129"/>
      <c r="J77" s="139"/>
      <c r="K77" s="101"/>
      <c r="L77" s="129"/>
      <c r="M77" s="139"/>
      <c r="N77" s="101"/>
      <c r="O77" s="129"/>
      <c r="P77" s="139"/>
      <c r="Q77" s="101"/>
    </row>
    <row r="78" spans="1:17" s="74" customFormat="1" x14ac:dyDescent="0.2">
      <c r="A78" s="268" t="s">
        <v>50</v>
      </c>
      <c r="B78" s="237"/>
      <c r="C78" s="237"/>
      <c r="D78" s="83">
        <f>D79+D82+D85+D86+D87+D81+D80</f>
        <v>0</v>
      </c>
      <c r="E78" s="84" t="str">
        <f t="shared" si="14"/>
        <v>NA</v>
      </c>
      <c r="F78" s="85" t="str">
        <f t="shared" ref="F78:F91" si="19">IF(G78=0,"NA",D78/G78-1)</f>
        <v>NA</v>
      </c>
      <c r="G78" s="83">
        <f>G79+G82+G85+G86+G87+G81+G80</f>
        <v>0</v>
      </c>
      <c r="H78" s="84" t="str">
        <f t="shared" si="15"/>
        <v>NA</v>
      </c>
      <c r="I78" s="85" t="str">
        <f t="shared" ref="I78:I91" si="20">IF(J78=0,"NA",G78/J78-1)</f>
        <v>NA</v>
      </c>
      <c r="J78" s="83">
        <f>J79+J82+J85+J86+J87+J81+J80</f>
        <v>0</v>
      </c>
      <c r="K78" s="84" t="str">
        <f t="shared" si="16"/>
        <v>NA</v>
      </c>
      <c r="L78" s="85" t="str">
        <f t="shared" ref="L78:L91" si="21">IF(M78=0,"NA",J78/M78-1)</f>
        <v>NA</v>
      </c>
      <c r="M78" s="83">
        <f>M79+M82+M85+M86+M87+M81+M80</f>
        <v>0</v>
      </c>
      <c r="N78" s="84" t="str">
        <f t="shared" si="17"/>
        <v>NA</v>
      </c>
      <c r="O78" s="85" t="str">
        <f t="shared" ref="O78:O91" si="22">IF(P78=0,"NA",M78/P78-1)</f>
        <v>NA</v>
      </c>
      <c r="P78" s="83">
        <f>P79+P82+P85+P86+P87+P81+P80</f>
        <v>0</v>
      </c>
      <c r="Q78" s="84" t="str">
        <f t="shared" si="18"/>
        <v>NA</v>
      </c>
    </row>
    <row r="79" spans="1:17" s="97" customFormat="1" ht="11.25" x14ac:dyDescent="0.2">
      <c r="A79" s="229" t="s">
        <v>51</v>
      </c>
      <c r="B79" s="229"/>
      <c r="C79" s="242"/>
      <c r="D79" s="92">
        <v>0</v>
      </c>
      <c r="E79" s="103" t="str">
        <f t="shared" si="14"/>
        <v>NA</v>
      </c>
      <c r="F79" s="93" t="str">
        <f t="shared" si="19"/>
        <v>NA</v>
      </c>
      <c r="G79" s="92">
        <v>0</v>
      </c>
      <c r="H79" s="103" t="str">
        <f t="shared" si="15"/>
        <v>NA</v>
      </c>
      <c r="I79" s="93" t="str">
        <f t="shared" si="20"/>
        <v>NA</v>
      </c>
      <c r="J79" s="92">
        <v>0</v>
      </c>
      <c r="K79" s="103" t="str">
        <f t="shared" si="16"/>
        <v>NA</v>
      </c>
      <c r="L79" s="93" t="str">
        <f t="shared" si="21"/>
        <v>NA</v>
      </c>
      <c r="M79" s="92">
        <v>0</v>
      </c>
      <c r="N79" s="103" t="str">
        <f t="shared" si="17"/>
        <v>NA</v>
      </c>
      <c r="O79" s="93" t="str">
        <f t="shared" si="22"/>
        <v>NA</v>
      </c>
      <c r="P79" s="92">
        <v>0</v>
      </c>
      <c r="Q79" s="103" t="str">
        <f t="shared" si="18"/>
        <v>NA</v>
      </c>
    </row>
    <row r="80" spans="1:17" s="97" customFormat="1" ht="11.25" x14ac:dyDescent="0.2">
      <c r="A80" s="229" t="s">
        <v>110</v>
      </c>
      <c r="B80" s="229"/>
      <c r="C80" s="242"/>
      <c r="D80" s="92">
        <v>0</v>
      </c>
      <c r="E80" s="103" t="str">
        <f t="shared" si="14"/>
        <v>NA</v>
      </c>
      <c r="F80" s="93"/>
      <c r="G80" s="92">
        <v>0</v>
      </c>
      <c r="H80" s="103"/>
      <c r="I80" s="93"/>
      <c r="J80" s="92">
        <v>0</v>
      </c>
      <c r="K80" s="103"/>
      <c r="L80" s="93"/>
      <c r="M80" s="92">
        <v>0</v>
      </c>
      <c r="N80" s="103"/>
      <c r="O80" s="93"/>
      <c r="P80" s="92">
        <v>0</v>
      </c>
      <c r="Q80" s="103"/>
    </row>
    <row r="81" spans="1:17" s="97" customFormat="1" ht="11.25" x14ac:dyDescent="0.2">
      <c r="A81" s="229" t="s">
        <v>100</v>
      </c>
      <c r="B81" s="229"/>
      <c r="C81" s="242"/>
      <c r="D81" s="92">
        <v>0</v>
      </c>
      <c r="E81" s="103" t="str">
        <f t="shared" si="14"/>
        <v>NA</v>
      </c>
      <c r="F81" s="93" t="str">
        <f t="shared" si="19"/>
        <v>NA</v>
      </c>
      <c r="G81" s="92">
        <v>0</v>
      </c>
      <c r="H81" s="103" t="str">
        <f t="shared" si="15"/>
        <v>NA</v>
      </c>
      <c r="I81" s="93" t="str">
        <f t="shared" si="20"/>
        <v>NA</v>
      </c>
      <c r="J81" s="92">
        <v>0</v>
      </c>
      <c r="K81" s="103" t="str">
        <f t="shared" si="16"/>
        <v>NA</v>
      </c>
      <c r="L81" s="93" t="str">
        <f t="shared" si="21"/>
        <v>NA</v>
      </c>
      <c r="M81" s="92">
        <v>0</v>
      </c>
      <c r="N81" s="103" t="str">
        <f t="shared" si="17"/>
        <v>NA</v>
      </c>
      <c r="O81" s="93" t="str">
        <f t="shared" si="22"/>
        <v>NA</v>
      </c>
      <c r="P81" s="92">
        <v>0</v>
      </c>
      <c r="Q81" s="103" t="str">
        <f t="shared" si="18"/>
        <v>NA</v>
      </c>
    </row>
    <row r="82" spans="1:17" s="102" customFormat="1" ht="11.25" x14ac:dyDescent="0.2">
      <c r="A82" s="227" t="s">
        <v>101</v>
      </c>
      <c r="B82" s="227"/>
      <c r="C82" s="227"/>
      <c r="D82" s="100">
        <f>D83+D84</f>
        <v>0</v>
      </c>
      <c r="E82" s="101" t="str">
        <f t="shared" si="14"/>
        <v>NA</v>
      </c>
      <c r="F82" s="93" t="str">
        <f t="shared" si="19"/>
        <v>NA</v>
      </c>
      <c r="G82" s="100">
        <f>G83+G84</f>
        <v>0</v>
      </c>
      <c r="H82" s="101" t="str">
        <f t="shared" si="15"/>
        <v>NA</v>
      </c>
      <c r="I82" s="93" t="str">
        <f t="shared" si="20"/>
        <v>NA</v>
      </c>
      <c r="J82" s="100">
        <f>J83+J84</f>
        <v>0</v>
      </c>
      <c r="K82" s="101" t="str">
        <f t="shared" si="16"/>
        <v>NA</v>
      </c>
      <c r="L82" s="93" t="str">
        <f t="shared" si="21"/>
        <v>NA</v>
      </c>
      <c r="M82" s="100">
        <f>M83+M84</f>
        <v>0</v>
      </c>
      <c r="N82" s="101" t="str">
        <f t="shared" si="17"/>
        <v>NA</v>
      </c>
      <c r="O82" s="93" t="str">
        <f t="shared" si="22"/>
        <v>NA</v>
      </c>
      <c r="P82" s="100">
        <f>P83+P84</f>
        <v>0</v>
      </c>
      <c r="Q82" s="101" t="str">
        <f t="shared" si="18"/>
        <v>NA</v>
      </c>
    </row>
    <row r="83" spans="1:17" s="119" customFormat="1" ht="11.25" x14ac:dyDescent="0.2">
      <c r="A83" s="230" t="s">
        <v>112</v>
      </c>
      <c r="B83" s="230"/>
      <c r="C83" s="231"/>
      <c r="D83" s="104">
        <v>0</v>
      </c>
      <c r="E83" s="138" t="str">
        <f t="shared" si="14"/>
        <v>NA</v>
      </c>
      <c r="F83" s="93" t="str">
        <f t="shared" si="19"/>
        <v>NA</v>
      </c>
      <c r="G83" s="104">
        <v>0</v>
      </c>
      <c r="H83" s="138" t="str">
        <f t="shared" si="15"/>
        <v>NA</v>
      </c>
      <c r="I83" s="93" t="str">
        <f t="shared" si="20"/>
        <v>NA</v>
      </c>
      <c r="J83" s="104">
        <v>0</v>
      </c>
      <c r="K83" s="138" t="str">
        <f t="shared" si="16"/>
        <v>NA</v>
      </c>
      <c r="L83" s="93" t="str">
        <f t="shared" si="21"/>
        <v>NA</v>
      </c>
      <c r="M83" s="104">
        <v>0</v>
      </c>
      <c r="N83" s="138" t="str">
        <f t="shared" si="17"/>
        <v>NA</v>
      </c>
      <c r="O83" s="93" t="str">
        <f t="shared" si="22"/>
        <v>NA</v>
      </c>
      <c r="P83" s="104">
        <v>0</v>
      </c>
      <c r="Q83" s="138" t="str">
        <f t="shared" si="18"/>
        <v>NA</v>
      </c>
    </row>
    <row r="84" spans="1:17" s="119" customFormat="1" ht="11.25" x14ac:dyDescent="0.2">
      <c r="A84" s="230" t="s">
        <v>113</v>
      </c>
      <c r="B84" s="230"/>
      <c r="C84" s="231"/>
      <c r="D84" s="104">
        <v>0</v>
      </c>
      <c r="E84" s="138" t="str">
        <f t="shared" si="14"/>
        <v>NA</v>
      </c>
      <c r="F84" s="93" t="str">
        <f t="shared" si="19"/>
        <v>NA</v>
      </c>
      <c r="G84" s="104">
        <v>0</v>
      </c>
      <c r="H84" s="138" t="str">
        <f t="shared" si="15"/>
        <v>NA</v>
      </c>
      <c r="I84" s="93" t="str">
        <f t="shared" si="20"/>
        <v>NA</v>
      </c>
      <c r="J84" s="104">
        <v>0</v>
      </c>
      <c r="K84" s="138" t="str">
        <f t="shared" si="16"/>
        <v>NA</v>
      </c>
      <c r="L84" s="93" t="str">
        <f t="shared" si="21"/>
        <v>NA</v>
      </c>
      <c r="M84" s="104">
        <v>0</v>
      </c>
      <c r="N84" s="138" t="str">
        <f t="shared" si="17"/>
        <v>NA</v>
      </c>
      <c r="O84" s="93" t="str">
        <f t="shared" si="22"/>
        <v>NA</v>
      </c>
      <c r="P84" s="104">
        <v>0</v>
      </c>
      <c r="Q84" s="138" t="str">
        <f t="shared" si="18"/>
        <v>NA</v>
      </c>
    </row>
    <row r="85" spans="1:17" s="97" customFormat="1" ht="11.25" x14ac:dyDescent="0.2">
      <c r="A85" s="229" t="s">
        <v>102</v>
      </c>
      <c r="B85" s="229"/>
      <c r="C85" s="229"/>
      <c r="D85" s="92">
        <v>0</v>
      </c>
      <c r="E85" s="103" t="str">
        <f t="shared" si="14"/>
        <v>NA</v>
      </c>
      <c r="F85" s="93" t="str">
        <f t="shared" si="19"/>
        <v>NA</v>
      </c>
      <c r="G85" s="92">
        <v>0</v>
      </c>
      <c r="H85" s="103" t="str">
        <f t="shared" si="15"/>
        <v>NA</v>
      </c>
      <c r="I85" s="93" t="str">
        <f t="shared" si="20"/>
        <v>NA</v>
      </c>
      <c r="J85" s="92">
        <v>0</v>
      </c>
      <c r="K85" s="103" t="str">
        <f t="shared" si="16"/>
        <v>NA</v>
      </c>
      <c r="L85" s="93" t="str">
        <f t="shared" si="21"/>
        <v>NA</v>
      </c>
      <c r="M85" s="92">
        <v>0</v>
      </c>
      <c r="N85" s="103" t="str">
        <f t="shared" si="17"/>
        <v>NA</v>
      </c>
      <c r="O85" s="93" t="str">
        <f t="shared" si="22"/>
        <v>NA</v>
      </c>
      <c r="P85" s="92">
        <v>0</v>
      </c>
      <c r="Q85" s="103" t="str">
        <f t="shared" si="18"/>
        <v>NA</v>
      </c>
    </row>
    <row r="86" spans="1:17" s="97" customFormat="1" ht="11.25" x14ac:dyDescent="0.2">
      <c r="A86" s="229" t="s">
        <v>103</v>
      </c>
      <c r="B86" s="229"/>
      <c r="C86" s="229"/>
      <c r="D86" s="92">
        <v>0</v>
      </c>
      <c r="E86" s="103" t="str">
        <f t="shared" si="14"/>
        <v>NA</v>
      </c>
      <c r="F86" s="93" t="str">
        <f t="shared" si="19"/>
        <v>NA</v>
      </c>
      <c r="G86" s="92">
        <v>0</v>
      </c>
      <c r="H86" s="103" t="str">
        <f t="shared" si="15"/>
        <v>NA</v>
      </c>
      <c r="I86" s="93" t="str">
        <f t="shared" si="20"/>
        <v>NA</v>
      </c>
      <c r="J86" s="92">
        <v>0</v>
      </c>
      <c r="K86" s="103" t="str">
        <f t="shared" si="16"/>
        <v>NA</v>
      </c>
      <c r="L86" s="93" t="str">
        <f t="shared" si="21"/>
        <v>NA</v>
      </c>
      <c r="M86" s="92">
        <v>0</v>
      </c>
      <c r="N86" s="103" t="str">
        <f t="shared" si="17"/>
        <v>NA</v>
      </c>
      <c r="O86" s="93" t="str">
        <f t="shared" si="22"/>
        <v>NA</v>
      </c>
      <c r="P86" s="92">
        <v>0</v>
      </c>
      <c r="Q86" s="103" t="str">
        <f t="shared" si="18"/>
        <v>NA</v>
      </c>
    </row>
    <row r="87" spans="1:17" s="97" customFormat="1" ht="11.25" x14ac:dyDescent="0.2">
      <c r="A87" s="229" t="s">
        <v>104</v>
      </c>
      <c r="B87" s="229"/>
      <c r="C87" s="229"/>
      <c r="D87" s="92">
        <v>0</v>
      </c>
      <c r="E87" s="103" t="str">
        <f t="shared" si="14"/>
        <v>NA</v>
      </c>
      <c r="F87" s="93" t="str">
        <f t="shared" si="19"/>
        <v>NA</v>
      </c>
      <c r="G87" s="92">
        <v>0</v>
      </c>
      <c r="H87" s="103" t="str">
        <f t="shared" si="15"/>
        <v>NA</v>
      </c>
      <c r="I87" s="93" t="str">
        <f t="shared" si="20"/>
        <v>NA</v>
      </c>
      <c r="J87" s="92">
        <v>0</v>
      </c>
      <c r="K87" s="103" t="str">
        <f t="shared" si="16"/>
        <v>NA</v>
      </c>
      <c r="L87" s="93" t="str">
        <f t="shared" si="21"/>
        <v>NA</v>
      </c>
      <c r="M87" s="92">
        <v>0</v>
      </c>
      <c r="N87" s="103" t="str">
        <f t="shared" si="17"/>
        <v>NA</v>
      </c>
      <c r="O87" s="93" t="str">
        <f t="shared" si="22"/>
        <v>NA</v>
      </c>
      <c r="P87" s="92">
        <v>0</v>
      </c>
      <c r="Q87" s="103" t="str">
        <f t="shared" si="18"/>
        <v>NA</v>
      </c>
    </row>
    <row r="88" spans="1:17" s="74" customFormat="1" x14ac:dyDescent="0.2">
      <c r="A88" s="98"/>
      <c r="B88" s="98"/>
      <c r="C88" s="98"/>
      <c r="D88" s="90"/>
      <c r="E88" s="91"/>
      <c r="F88" s="88"/>
      <c r="G88" s="90"/>
      <c r="H88" s="91"/>
      <c r="I88" s="88"/>
      <c r="J88" s="90"/>
      <c r="K88" s="91"/>
      <c r="L88" s="88"/>
      <c r="M88" s="90"/>
      <c r="N88" s="91"/>
      <c r="O88" s="88"/>
      <c r="P88" s="90"/>
      <c r="Q88" s="91"/>
    </row>
    <row r="89" spans="1:17" s="126" customFormat="1" ht="12.75" x14ac:dyDescent="0.2">
      <c r="A89" s="248" t="s">
        <v>115</v>
      </c>
      <c r="B89" s="249"/>
      <c r="C89" s="249"/>
      <c r="D89" s="167">
        <v>0</v>
      </c>
      <c r="E89" s="168" t="str">
        <f t="shared" si="14"/>
        <v>NA</v>
      </c>
      <c r="F89" s="166" t="str">
        <f t="shared" si="19"/>
        <v>NA</v>
      </c>
      <c r="G89" s="167">
        <v>0</v>
      </c>
      <c r="H89" s="168" t="str">
        <f t="shared" si="15"/>
        <v>NA</v>
      </c>
      <c r="I89" s="166" t="str">
        <f t="shared" si="20"/>
        <v>NA</v>
      </c>
      <c r="J89" s="167">
        <v>0</v>
      </c>
      <c r="K89" s="168" t="str">
        <f t="shared" si="16"/>
        <v>NA</v>
      </c>
      <c r="L89" s="166" t="str">
        <f t="shared" si="21"/>
        <v>NA</v>
      </c>
      <c r="M89" s="167">
        <v>0</v>
      </c>
      <c r="N89" s="168" t="str">
        <f t="shared" si="17"/>
        <v>NA</v>
      </c>
      <c r="O89" s="166" t="str">
        <f t="shared" si="22"/>
        <v>NA</v>
      </c>
      <c r="P89" s="167">
        <v>0</v>
      </c>
      <c r="Q89" s="168" t="str">
        <f t="shared" si="18"/>
        <v>NA</v>
      </c>
    </row>
    <row r="90" spans="1:17" s="140" customFormat="1" ht="12.75" x14ac:dyDescent="0.2">
      <c r="A90" s="141"/>
      <c r="B90" s="141"/>
      <c r="C90" s="141"/>
      <c r="D90" s="142"/>
      <c r="E90" s="143"/>
      <c r="F90" s="132"/>
      <c r="G90" s="142"/>
      <c r="H90" s="143"/>
      <c r="I90" s="132"/>
      <c r="J90" s="142"/>
      <c r="K90" s="143"/>
      <c r="L90" s="132"/>
      <c r="M90" s="142"/>
      <c r="N90" s="143"/>
      <c r="O90" s="132"/>
      <c r="P90" s="142"/>
      <c r="Q90" s="143"/>
    </row>
    <row r="91" spans="1:17" s="82" customFormat="1" ht="13.5" thickBot="1" x14ac:dyDescent="0.25">
      <c r="A91" s="234" t="s">
        <v>37</v>
      </c>
      <c r="B91" s="234"/>
      <c r="C91" s="234"/>
      <c r="D91" s="173">
        <f>SUM(D47+D57+D59+D61+D66+D89)</f>
        <v>0</v>
      </c>
      <c r="E91" s="174" t="str">
        <f t="shared" si="14"/>
        <v>NA</v>
      </c>
      <c r="F91" s="175" t="str">
        <f t="shared" si="19"/>
        <v>NA</v>
      </c>
      <c r="G91" s="173">
        <f>SUM(G47+G57+G59+G61+G66+G89)</f>
        <v>0</v>
      </c>
      <c r="H91" s="174" t="str">
        <f t="shared" si="15"/>
        <v>NA</v>
      </c>
      <c r="I91" s="175" t="str">
        <f t="shared" si="20"/>
        <v>NA</v>
      </c>
      <c r="J91" s="173">
        <f>SUM(J47+J57+J59+J61+J66+J89)</f>
        <v>0</v>
      </c>
      <c r="K91" s="174" t="str">
        <f t="shared" si="16"/>
        <v>NA</v>
      </c>
      <c r="L91" s="175" t="str">
        <f t="shared" si="21"/>
        <v>NA</v>
      </c>
      <c r="M91" s="173">
        <f>SUM(M47+M57+M59+M61+M66+M89)</f>
        <v>0</v>
      </c>
      <c r="N91" s="174" t="str">
        <f t="shared" si="17"/>
        <v>NA</v>
      </c>
      <c r="O91" s="175" t="str">
        <f t="shared" si="22"/>
        <v>NA</v>
      </c>
      <c r="P91" s="173">
        <f>SUM(P47+P57+P59+P61+P66+P89)</f>
        <v>0</v>
      </c>
      <c r="Q91" s="174" t="str">
        <f t="shared" si="18"/>
        <v>NA</v>
      </c>
    </row>
    <row r="92" spans="1:17" s="149" customFormat="1" ht="13.5" thickTop="1" x14ac:dyDescent="0.2">
      <c r="A92" s="176" t="s">
        <v>106</v>
      </c>
      <c r="B92" s="144"/>
      <c r="C92" s="145"/>
      <c r="D92" s="146">
        <f>D91-D45</f>
        <v>0</v>
      </c>
      <c r="E92" s="147"/>
      <c r="F92" s="148"/>
      <c r="G92" s="146">
        <f>G91-G45</f>
        <v>0</v>
      </c>
      <c r="H92" s="147"/>
      <c r="I92" s="148"/>
      <c r="J92" s="146">
        <f>J91-J45</f>
        <v>0</v>
      </c>
      <c r="K92" s="147"/>
      <c r="L92" s="148"/>
      <c r="M92" s="146">
        <f>M91-M45</f>
        <v>0</v>
      </c>
      <c r="N92" s="147"/>
      <c r="O92" s="148"/>
      <c r="P92" s="146">
        <f>P91-P45</f>
        <v>0</v>
      </c>
      <c r="Q92" s="147"/>
    </row>
    <row r="93" spans="1:17" s="152" customFormat="1" x14ac:dyDescent="0.2">
      <c r="A93" s="239"/>
      <c r="B93" s="239"/>
      <c r="C93" s="239"/>
      <c r="D93" s="90"/>
      <c r="E93" s="150"/>
      <c r="F93" s="151"/>
      <c r="G93" s="90"/>
      <c r="H93" s="150"/>
      <c r="I93" s="151"/>
      <c r="J93" s="90"/>
      <c r="K93" s="150"/>
      <c r="L93" s="151"/>
      <c r="M93" s="90"/>
      <c r="N93" s="150"/>
      <c r="O93" s="151"/>
      <c r="P93" s="90"/>
      <c r="Q93" s="150"/>
    </row>
    <row r="94" spans="1:17" s="152" customFormat="1" x14ac:dyDescent="0.2">
      <c r="A94" s="240" t="s">
        <v>120</v>
      </c>
      <c r="B94" s="241"/>
      <c r="C94" s="241"/>
      <c r="D94" s="204">
        <v>0</v>
      </c>
      <c r="E94" s="177"/>
      <c r="F94" s="178"/>
      <c r="G94" s="204">
        <v>0</v>
      </c>
      <c r="H94" s="177"/>
      <c r="I94" s="178"/>
      <c r="J94" s="204">
        <v>0</v>
      </c>
      <c r="K94" s="177"/>
      <c r="L94" s="178"/>
      <c r="M94" s="204">
        <v>0</v>
      </c>
      <c r="N94" s="177"/>
      <c r="O94" s="178"/>
      <c r="P94" s="204">
        <v>0</v>
      </c>
      <c r="Q94" s="177"/>
    </row>
    <row r="95" spans="1:17" x14ac:dyDescent="0.2">
      <c r="A95" s="240" t="s">
        <v>107</v>
      </c>
      <c r="B95" s="241"/>
      <c r="C95" s="241"/>
      <c r="D95" s="179">
        <v>0</v>
      </c>
      <c r="E95" s="180"/>
      <c r="F95" s="181"/>
      <c r="G95" s="179">
        <v>0</v>
      </c>
      <c r="H95" s="180"/>
      <c r="I95" s="181"/>
      <c r="J95" s="179">
        <v>0</v>
      </c>
      <c r="K95" s="180"/>
      <c r="L95" s="181"/>
      <c r="M95" s="179">
        <v>0</v>
      </c>
      <c r="N95" s="180"/>
      <c r="O95" s="181"/>
      <c r="P95" s="179">
        <v>0</v>
      </c>
      <c r="Q95" s="180"/>
    </row>
    <row r="96" spans="1:17" s="74" customFormat="1" x14ac:dyDescent="0.2">
      <c r="A96" s="244" t="s">
        <v>35</v>
      </c>
      <c r="B96" s="245"/>
      <c r="C96" s="245"/>
      <c r="D96" s="216">
        <f>D98</f>
        <v>0</v>
      </c>
      <c r="E96" s="205"/>
      <c r="F96" s="206"/>
      <c r="G96" s="216">
        <f>G98</f>
        <v>0</v>
      </c>
      <c r="H96" s="205"/>
      <c r="I96" s="206"/>
      <c r="J96" s="216">
        <f>J98</f>
        <v>0</v>
      </c>
      <c r="K96" s="205"/>
      <c r="L96" s="206"/>
      <c r="M96" s="216">
        <f>M98</f>
        <v>0</v>
      </c>
      <c r="N96" s="205"/>
      <c r="O96" s="206"/>
      <c r="P96" s="216">
        <f>P98</f>
        <v>0</v>
      </c>
      <c r="Q96" s="205"/>
    </row>
    <row r="97" spans="1:17" x14ac:dyDescent="0.2">
      <c r="A97" s="246" t="s">
        <v>121</v>
      </c>
      <c r="B97" s="247"/>
      <c r="C97" s="247"/>
      <c r="D97" s="153">
        <v>0</v>
      </c>
      <c r="E97" s="154"/>
      <c r="F97" s="155"/>
      <c r="G97" s="153">
        <v>0</v>
      </c>
      <c r="H97" s="154"/>
      <c r="I97" s="155"/>
      <c r="J97" s="153">
        <v>0</v>
      </c>
      <c r="K97" s="154"/>
      <c r="L97" s="155"/>
      <c r="M97" s="153"/>
      <c r="N97" s="154"/>
      <c r="O97" s="155"/>
      <c r="P97" s="153"/>
      <c r="Q97" s="154"/>
    </row>
    <row r="98" spans="1:17" ht="12.75" thickBot="1" x14ac:dyDescent="0.25">
      <c r="A98" s="232" t="s">
        <v>122</v>
      </c>
      <c r="B98" s="233"/>
      <c r="C98" s="233"/>
      <c r="D98" s="156">
        <v>0</v>
      </c>
      <c r="E98" s="157"/>
      <c r="F98" s="158"/>
      <c r="G98" s="156">
        <v>0</v>
      </c>
      <c r="H98" s="157"/>
      <c r="I98" s="158"/>
      <c r="J98" s="156">
        <v>0</v>
      </c>
      <c r="K98" s="157"/>
      <c r="L98" s="158"/>
      <c r="M98" s="156"/>
      <c r="N98" s="157"/>
      <c r="O98" s="158"/>
      <c r="P98" s="156"/>
      <c r="Q98" s="157"/>
    </row>
    <row r="99" spans="1:17" x14ac:dyDescent="0.2">
      <c r="M99" s="74"/>
    </row>
  </sheetData>
  <sheetProtection password="80C1" sheet="1" objects="1" scenarios="1" selectLockedCells="1"/>
  <mergeCells count="100">
    <mergeCell ref="A38:C38"/>
    <mergeCell ref="A94:C94"/>
    <mergeCell ref="M4:N4"/>
    <mergeCell ref="A4:C4"/>
    <mergeCell ref="D4:E4"/>
    <mergeCell ref="J4:K4"/>
    <mergeCell ref="A17:C17"/>
    <mergeCell ref="A8:C8"/>
    <mergeCell ref="A9:C9"/>
    <mergeCell ref="A32:C32"/>
    <mergeCell ref="A23:C23"/>
    <mergeCell ref="A28:C28"/>
    <mergeCell ref="A29:C29"/>
    <mergeCell ref="A30:C30"/>
    <mergeCell ref="A21:C21"/>
    <mergeCell ref="A25:C25"/>
    <mergeCell ref="G1:G2"/>
    <mergeCell ref="F1:F2"/>
    <mergeCell ref="A49:C49"/>
    <mergeCell ref="A1:E2"/>
    <mergeCell ref="G4:H4"/>
    <mergeCell ref="D6:E6"/>
    <mergeCell ref="G6:H6"/>
    <mergeCell ref="F5:F6"/>
    <mergeCell ref="A6:C6"/>
    <mergeCell ref="A12:C12"/>
    <mergeCell ref="A15:C15"/>
    <mergeCell ref="A39:C39"/>
    <mergeCell ref="A33:C33"/>
    <mergeCell ref="A41:C41"/>
    <mergeCell ref="A27:C27"/>
    <mergeCell ref="A16:C16"/>
    <mergeCell ref="P4:Q4"/>
    <mergeCell ref="A85:C85"/>
    <mergeCell ref="A86:C86"/>
    <mergeCell ref="A79:C79"/>
    <mergeCell ref="A82:C82"/>
    <mergeCell ref="A83:C83"/>
    <mergeCell ref="A84:C84"/>
    <mergeCell ref="A74:C74"/>
    <mergeCell ref="A75:C75"/>
    <mergeCell ref="A76:C76"/>
    <mergeCell ref="P6:Q6"/>
    <mergeCell ref="A5:C5"/>
    <mergeCell ref="A67:C67"/>
    <mergeCell ref="A78:C78"/>
    <mergeCell ref="A68:C68"/>
    <mergeCell ref="A71:C71"/>
    <mergeCell ref="A26:C26"/>
    <mergeCell ref="A10:C10"/>
    <mergeCell ref="A11:C11"/>
    <mergeCell ref="A14:C14"/>
    <mergeCell ref="A20:C20"/>
    <mergeCell ref="A18:C18"/>
    <mergeCell ref="A22:C22"/>
    <mergeCell ref="O5:O6"/>
    <mergeCell ref="M6:N6"/>
    <mergeCell ref="L5:L6"/>
    <mergeCell ref="I5:I6"/>
    <mergeCell ref="J6:K6"/>
    <mergeCell ref="A70:C70"/>
    <mergeCell ref="A53:C53"/>
    <mergeCell ref="A57:C57"/>
    <mergeCell ref="A60:C60"/>
    <mergeCell ref="A61:C61"/>
    <mergeCell ref="A62:C62"/>
    <mergeCell ref="A55:C55"/>
    <mergeCell ref="A56:C56"/>
    <mergeCell ref="A89:C89"/>
    <mergeCell ref="A42:C42"/>
    <mergeCell ref="A43:C43"/>
    <mergeCell ref="A44:C44"/>
    <mergeCell ref="A46:C46"/>
    <mergeCell ref="A45:C45"/>
    <mergeCell ref="A80:C80"/>
    <mergeCell ref="A50:C50"/>
    <mergeCell ref="A51:C51"/>
    <mergeCell ref="A52:C52"/>
    <mergeCell ref="A47:C47"/>
    <mergeCell ref="A48:C48"/>
    <mergeCell ref="A72:C72"/>
    <mergeCell ref="A73:C73"/>
    <mergeCell ref="A63:C63"/>
    <mergeCell ref="A64:C64"/>
    <mergeCell ref="A34:C34"/>
    <mergeCell ref="A37:C37"/>
    <mergeCell ref="A35:C35"/>
    <mergeCell ref="A36:C36"/>
    <mergeCell ref="A98:C98"/>
    <mergeCell ref="A91:C91"/>
    <mergeCell ref="A66:C66"/>
    <mergeCell ref="A87:C87"/>
    <mergeCell ref="A58:C58"/>
    <mergeCell ref="A93:C93"/>
    <mergeCell ref="A95:C95"/>
    <mergeCell ref="A81:C81"/>
    <mergeCell ref="A65:C65"/>
    <mergeCell ref="A96:C96"/>
    <mergeCell ref="A97:C97"/>
    <mergeCell ref="A59:C59"/>
  </mergeCells>
  <phoneticPr fontId="3" type="noConversion"/>
  <conditionalFormatting sqref="D91 J91 M91 G91 P91">
    <cfRule type="cellIs" dxfId="3" priority="1" stopIfTrue="1" operator="equal">
      <formula>"FAULT"</formula>
    </cfRule>
  </conditionalFormatting>
  <conditionalFormatting sqref="D92 M92 G92 J92 P92">
    <cfRule type="cellIs" dxfId="2" priority="2" stopIfTrue="1" operator="equal">
      <formula>0</formula>
    </cfRule>
    <cfRule type="cellIs" dxfId="1" priority="3" stopIfTrue="1" operator="not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67" orientation="landscape" r:id="rId1"/>
  <headerFooter alignWithMargins="0">
    <oddHeader>&amp;A&amp;RPage &amp;P</oddHeader>
  </headerFooter>
  <rowBreaks count="1" manualBreakCount="1">
    <brk id="4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R103"/>
  <sheetViews>
    <sheetView view="pageBreakPreview" zoomScaleNormal="100" workbookViewId="0">
      <pane xSplit="3" ySplit="2" topLeftCell="D3" activePane="bottomRight" state="frozen"/>
      <selection activeCell="B10" sqref="B10"/>
      <selection pane="topRight" activeCell="B10" sqref="B10"/>
      <selection pane="bottomLeft" activeCell="B10" sqref="B10"/>
      <selection pane="bottomRight" activeCell="D20" sqref="D20"/>
    </sheetView>
  </sheetViews>
  <sheetFormatPr defaultRowHeight="12.75" x14ac:dyDescent="0.2"/>
  <cols>
    <col min="1" max="1" width="9.140625" style="5"/>
    <col min="2" max="2" width="9.140625" style="1"/>
    <col min="3" max="3" width="15.42578125" style="1" customWidth="1"/>
    <col min="4" max="4" width="16.5703125" style="1" bestFit="1" customWidth="1"/>
    <col min="5" max="5" width="10.140625" style="1" bestFit="1" customWidth="1"/>
    <col min="6" max="6" width="10.42578125" style="6" bestFit="1" customWidth="1"/>
    <col min="7" max="7" width="16.5703125" style="1" bestFit="1" customWidth="1"/>
    <col min="8" max="8" width="10.140625" style="1" bestFit="1" customWidth="1"/>
    <col min="9" max="9" width="10.42578125" style="6" bestFit="1" customWidth="1"/>
    <col min="10" max="10" width="16.5703125" style="1" bestFit="1" customWidth="1"/>
    <col min="11" max="11" width="10.140625" style="1" bestFit="1" customWidth="1"/>
    <col min="12" max="12" width="10.42578125" style="6" bestFit="1" customWidth="1"/>
    <col min="13" max="13" width="16.5703125" style="1" bestFit="1" customWidth="1"/>
    <col min="14" max="14" width="10.140625" style="1" bestFit="1" customWidth="1"/>
    <col min="15" max="15" width="10.42578125" style="6" bestFit="1" customWidth="1"/>
    <col min="16" max="16" width="16.5703125" style="1" bestFit="1" customWidth="1"/>
    <col min="17" max="17" width="10.140625" style="1" bestFit="1" customWidth="1"/>
  </cols>
  <sheetData>
    <row r="1" spans="1:18" ht="12.75" customHeight="1" x14ac:dyDescent="0.2">
      <c r="A1" s="336" t="e">
        <f>IF(#REF!="","",#REF!)</f>
        <v>#REF!</v>
      </c>
      <c r="B1" s="337"/>
      <c r="C1" s="337"/>
      <c r="D1" s="337"/>
      <c r="E1" s="338"/>
      <c r="F1" s="349" t="s">
        <v>108</v>
      </c>
      <c r="G1" s="350" t="e">
        <f>#REF!</f>
        <v>#REF!</v>
      </c>
      <c r="H1" s="13"/>
      <c r="I1" s="14"/>
      <c r="J1" s="13"/>
      <c r="K1" s="13"/>
      <c r="L1" s="14"/>
      <c r="M1" s="13"/>
      <c r="N1" s="13"/>
      <c r="O1" s="14"/>
      <c r="P1" s="13"/>
      <c r="Q1" s="13"/>
    </row>
    <row r="2" spans="1:18" ht="13.5" customHeight="1" thickBot="1" x14ac:dyDescent="0.25">
      <c r="A2" s="339"/>
      <c r="B2" s="340"/>
      <c r="C2" s="340"/>
      <c r="D2" s="340"/>
      <c r="E2" s="341"/>
      <c r="F2" s="349"/>
      <c r="G2" s="351"/>
      <c r="H2" s="13"/>
      <c r="I2" s="14"/>
      <c r="J2" s="13"/>
      <c r="K2" s="13"/>
      <c r="L2" s="14"/>
      <c r="M2" s="13"/>
      <c r="N2" s="13"/>
      <c r="O2" s="14"/>
      <c r="P2" s="13"/>
      <c r="Q2" s="13"/>
    </row>
    <row r="3" spans="1:18" ht="13.5" customHeight="1" thickBot="1" x14ac:dyDescent="0.25">
      <c r="A3" s="2"/>
      <c r="B3" s="13"/>
      <c r="C3" s="13"/>
      <c r="D3" s="13"/>
      <c r="E3" s="13"/>
      <c r="F3" s="14"/>
      <c r="G3" s="13"/>
      <c r="H3" s="13"/>
      <c r="I3" s="14"/>
      <c r="J3" s="13"/>
      <c r="K3" s="13"/>
      <c r="L3" s="14"/>
      <c r="M3" s="13"/>
      <c r="N3" s="13"/>
      <c r="O3" s="14"/>
      <c r="P3" s="13"/>
      <c r="Q3" s="13"/>
    </row>
    <row r="4" spans="1:18" x14ac:dyDescent="0.2">
      <c r="A4" s="342" t="s">
        <v>0</v>
      </c>
      <c r="B4" s="342"/>
      <c r="C4" s="342"/>
      <c r="D4" s="300">
        <f>IF('Assets and Liabilities'!D4="","",'Assets and Liabilities'!D4:E4)</f>
        <v>42004</v>
      </c>
      <c r="E4" s="301"/>
      <c r="F4" s="14"/>
      <c r="G4" s="300">
        <f>'Assets and Liabilities'!G4:H4</f>
        <v>41639</v>
      </c>
      <c r="H4" s="301"/>
      <c r="I4" s="14"/>
      <c r="J4" s="300">
        <f>'Assets and Liabilities'!J4:K4</f>
        <v>41274</v>
      </c>
      <c r="K4" s="301"/>
      <c r="L4" s="14"/>
      <c r="M4" s="300">
        <f>'Assets and Liabilities'!M4:N4</f>
        <v>40908</v>
      </c>
      <c r="N4" s="301"/>
      <c r="O4" s="14"/>
      <c r="P4" s="300">
        <f>'Assets and Liabilities'!P4:Q4</f>
        <v>40543</v>
      </c>
      <c r="Q4" s="301"/>
    </row>
    <row r="5" spans="1:18" ht="13.5" thickBot="1" x14ac:dyDescent="0.25">
      <c r="A5" s="345" t="s">
        <v>105</v>
      </c>
      <c r="B5" s="345"/>
      <c r="C5" s="346"/>
      <c r="D5" s="50">
        <f>'Assets and Liabilities'!D5</f>
        <v>2014</v>
      </c>
      <c r="E5" s="49">
        <f>'Assets and Liabilities'!E5</f>
        <v>12</v>
      </c>
      <c r="F5" s="343"/>
      <c r="G5" s="50">
        <f>'Assets and Liabilities'!G5</f>
        <v>2013</v>
      </c>
      <c r="H5" s="49">
        <f>'Assets and Liabilities'!H5</f>
        <v>12</v>
      </c>
      <c r="I5" s="343" t="s">
        <v>54</v>
      </c>
      <c r="J5" s="50">
        <f>'Assets and Liabilities'!J5</f>
        <v>2012</v>
      </c>
      <c r="K5" s="49">
        <f>'Assets and Liabilities'!K5</f>
        <v>12</v>
      </c>
      <c r="L5" s="343" t="s">
        <v>54</v>
      </c>
      <c r="M5" s="50">
        <f>'Assets and Liabilities'!M5</f>
        <v>2011</v>
      </c>
      <c r="N5" s="49">
        <f>'Assets and Liabilities'!N5</f>
        <v>12</v>
      </c>
      <c r="O5" s="343" t="s">
        <v>54</v>
      </c>
      <c r="P5" s="50">
        <f>'Assets and Liabilities'!P5</f>
        <v>2010</v>
      </c>
      <c r="Q5" s="49">
        <f>'Assets and Liabilities'!Q5</f>
        <v>12</v>
      </c>
    </row>
    <row r="6" spans="1:18" x14ac:dyDescent="0.2">
      <c r="A6" s="345"/>
      <c r="B6" s="345"/>
      <c r="C6" s="346"/>
      <c r="D6" s="347"/>
      <c r="E6" s="348"/>
      <c r="F6" s="344"/>
      <c r="G6" s="347"/>
      <c r="H6" s="348"/>
      <c r="I6" s="344"/>
      <c r="J6" s="347"/>
      <c r="K6" s="348"/>
      <c r="L6" s="344"/>
      <c r="M6" s="347"/>
      <c r="N6" s="348"/>
      <c r="O6" s="344"/>
      <c r="P6" s="347"/>
      <c r="Q6" s="348"/>
    </row>
    <row r="7" spans="1:18" x14ac:dyDescent="0.2">
      <c r="A7" s="3"/>
      <c r="B7" s="3"/>
      <c r="C7" s="7"/>
      <c r="D7" s="9" t="s">
        <v>42</v>
      </c>
      <c r="E7" s="10" t="s">
        <v>41</v>
      </c>
      <c r="F7" s="12" t="s">
        <v>55</v>
      </c>
      <c r="G7" s="9" t="s">
        <v>42</v>
      </c>
      <c r="H7" s="10" t="s">
        <v>41</v>
      </c>
      <c r="I7" s="12" t="s">
        <v>55</v>
      </c>
      <c r="J7" s="9" t="s">
        <v>42</v>
      </c>
      <c r="K7" s="10" t="s">
        <v>41</v>
      </c>
      <c r="L7" s="12" t="s">
        <v>55</v>
      </c>
      <c r="M7" s="9" t="s">
        <v>42</v>
      </c>
      <c r="N7" s="10" t="s">
        <v>41</v>
      </c>
      <c r="O7" s="12" t="s">
        <v>55</v>
      </c>
      <c r="P7" s="9" t="s">
        <v>42</v>
      </c>
      <c r="Q7" s="10" t="s">
        <v>41</v>
      </c>
    </row>
    <row r="8" spans="1:18" ht="15" customHeight="1" x14ac:dyDescent="0.2">
      <c r="A8" s="332" t="s">
        <v>72</v>
      </c>
      <c r="B8" s="332"/>
      <c r="C8" s="333"/>
      <c r="D8" s="182">
        <f>D10+D12</f>
        <v>0</v>
      </c>
      <c r="E8" s="183" t="e">
        <f>D8/D22</f>
        <v>#DIV/0!</v>
      </c>
      <c r="F8" s="184" t="str">
        <f>IF(G8=0,"NA",D8/G8-1)</f>
        <v>NA</v>
      </c>
      <c r="G8" s="182">
        <f>G10+G12</f>
        <v>0</v>
      </c>
      <c r="H8" s="183" t="e">
        <f>G8/G22</f>
        <v>#DIV/0!</v>
      </c>
      <c r="I8" s="184" t="str">
        <f>IF(J8=0,"NA",G8/J8-1)</f>
        <v>NA</v>
      </c>
      <c r="J8" s="182">
        <f>J10+J12</f>
        <v>0</v>
      </c>
      <c r="K8" s="183" t="e">
        <f>J8/J22</f>
        <v>#DIV/0!</v>
      </c>
      <c r="L8" s="184" t="str">
        <f>IF(M8=0,"NA",J8/M8-1)</f>
        <v>NA</v>
      </c>
      <c r="M8" s="182">
        <f>M10+M12</f>
        <v>0</v>
      </c>
      <c r="N8" s="183" t="e">
        <f>M8/M22</f>
        <v>#DIV/0!</v>
      </c>
      <c r="O8" s="184" t="str">
        <f>IF(P8=0,"NA",M8/P8-1)</f>
        <v>NA</v>
      </c>
      <c r="P8" s="182">
        <f>P10+P12</f>
        <v>0</v>
      </c>
      <c r="Q8" s="183" t="e">
        <f>P8/P22</f>
        <v>#DIV/0!</v>
      </c>
      <c r="R8" s="15"/>
    </row>
    <row r="9" spans="1:18" s="64" customFormat="1" ht="3" customHeight="1" x14ac:dyDescent="0.2">
      <c r="A9" s="217"/>
      <c r="D9" s="65"/>
      <c r="E9" s="66"/>
      <c r="G9" s="65"/>
      <c r="H9" s="66"/>
      <c r="J9" s="65"/>
      <c r="K9" s="66"/>
      <c r="M9" s="65"/>
      <c r="N9" s="66"/>
      <c r="P9" s="65"/>
      <c r="Q9" s="66"/>
    </row>
    <row r="10" spans="1:18" s="17" customFormat="1" ht="15" customHeight="1" x14ac:dyDescent="0.2">
      <c r="A10" s="308" t="s">
        <v>56</v>
      </c>
      <c r="B10" s="308"/>
      <c r="C10" s="309"/>
      <c r="D10" s="57">
        <v>0</v>
      </c>
      <c r="E10" s="42" t="e">
        <f>D10/D8</f>
        <v>#DIV/0!</v>
      </c>
      <c r="F10" s="21" t="str">
        <f t="shared" ref="F10:F102" si="0">IF(G10=0,"NA",D10/G10-1)</f>
        <v>NA</v>
      </c>
      <c r="G10" s="57">
        <v>0</v>
      </c>
      <c r="H10" s="42" t="e">
        <f>G10/G8</f>
        <v>#DIV/0!</v>
      </c>
      <c r="I10" s="21" t="str">
        <f t="shared" ref="I10:I102" si="1">IF(J10=0,"NA",G10/J10-1)</f>
        <v>NA</v>
      </c>
      <c r="J10" s="57">
        <v>0</v>
      </c>
      <c r="K10" s="42" t="e">
        <f>J10/J8</f>
        <v>#DIV/0!</v>
      </c>
      <c r="L10" s="21" t="str">
        <f t="shared" ref="L10:L102" si="2">IF(M10=0,"NA",J10/M10-1)</f>
        <v>NA</v>
      </c>
      <c r="M10" s="57">
        <v>0</v>
      </c>
      <c r="N10" s="42" t="e">
        <f>M10/M8</f>
        <v>#DIV/0!</v>
      </c>
      <c r="O10" s="21" t="str">
        <f t="shared" ref="O10:O102" si="3">IF(P10=0,"NA",M10/P10-1)</f>
        <v>NA</v>
      </c>
      <c r="P10" s="57">
        <v>0</v>
      </c>
      <c r="Q10" s="42" t="e">
        <f>P10/P8</f>
        <v>#DIV/0!</v>
      </c>
      <c r="R10" s="43"/>
    </row>
    <row r="11" spans="1:18" s="64" customFormat="1" ht="3" customHeight="1" x14ac:dyDescent="0.2">
      <c r="A11" s="67"/>
      <c r="D11" s="65"/>
      <c r="E11" s="66"/>
      <c r="G11" s="65"/>
      <c r="H11" s="66"/>
      <c r="J11" s="65"/>
      <c r="K11" s="66"/>
      <c r="M11" s="65"/>
      <c r="N11" s="66"/>
      <c r="P11" s="65"/>
      <c r="Q11" s="66"/>
    </row>
    <row r="12" spans="1:18" s="17" customFormat="1" ht="15" customHeight="1" x14ac:dyDescent="0.2">
      <c r="A12" s="308" t="s">
        <v>57</v>
      </c>
      <c r="B12" s="308"/>
      <c r="C12" s="309"/>
      <c r="D12" s="57">
        <v>0</v>
      </c>
      <c r="E12" s="42" t="e">
        <f>D12/D8</f>
        <v>#DIV/0!</v>
      </c>
      <c r="F12" s="21" t="str">
        <f t="shared" si="0"/>
        <v>NA</v>
      </c>
      <c r="G12" s="57">
        <v>0</v>
      </c>
      <c r="H12" s="42" t="e">
        <f>G12/G8</f>
        <v>#DIV/0!</v>
      </c>
      <c r="I12" s="21" t="str">
        <f t="shared" si="1"/>
        <v>NA</v>
      </c>
      <c r="J12" s="57">
        <v>0</v>
      </c>
      <c r="K12" s="42" t="e">
        <f>J12/J8</f>
        <v>#DIV/0!</v>
      </c>
      <c r="L12" s="21" t="str">
        <f t="shared" si="2"/>
        <v>NA</v>
      </c>
      <c r="M12" s="57">
        <v>0</v>
      </c>
      <c r="N12" s="42" t="e">
        <f>M12/M8</f>
        <v>#DIV/0!</v>
      </c>
      <c r="O12" s="21" t="str">
        <f t="shared" si="3"/>
        <v>NA</v>
      </c>
      <c r="P12" s="57">
        <v>0</v>
      </c>
      <c r="Q12" s="42" t="e">
        <f>P12/P8</f>
        <v>#DIV/0!</v>
      </c>
      <c r="R12" s="43"/>
    </row>
    <row r="13" spans="1:18" s="64" customFormat="1" ht="3" customHeight="1" x14ac:dyDescent="0.2">
      <c r="A13" s="67"/>
      <c r="D13" s="65"/>
      <c r="E13" s="66"/>
      <c r="G13" s="65"/>
      <c r="H13" s="66"/>
      <c r="J13" s="65"/>
      <c r="K13" s="66"/>
      <c r="M13" s="65"/>
      <c r="N13" s="66"/>
      <c r="P13" s="65"/>
      <c r="Q13" s="66"/>
    </row>
    <row r="14" spans="1:18" s="17" customFormat="1" ht="24" customHeight="1" x14ac:dyDescent="0.2">
      <c r="A14" s="334" t="s">
        <v>66</v>
      </c>
      <c r="B14" s="334"/>
      <c r="C14" s="335"/>
      <c r="D14" s="58">
        <v>0</v>
      </c>
      <c r="E14" s="31" t="e">
        <f>D14/D22</f>
        <v>#DIV/0!</v>
      </c>
      <c r="F14" s="22" t="str">
        <f t="shared" si="0"/>
        <v>NA</v>
      </c>
      <c r="G14" s="58">
        <v>0</v>
      </c>
      <c r="H14" s="31" t="e">
        <f>G14/G22</f>
        <v>#DIV/0!</v>
      </c>
      <c r="I14" s="22" t="str">
        <f t="shared" si="1"/>
        <v>NA</v>
      </c>
      <c r="J14" s="55">
        <v>0</v>
      </c>
      <c r="K14" s="31" t="e">
        <f>J14/J22</f>
        <v>#DIV/0!</v>
      </c>
      <c r="L14" s="22" t="str">
        <f t="shared" si="2"/>
        <v>NA</v>
      </c>
      <c r="M14" s="58">
        <v>0</v>
      </c>
      <c r="N14" s="31" t="e">
        <f>M14/M22</f>
        <v>#DIV/0!</v>
      </c>
      <c r="O14" s="22" t="str">
        <f t="shared" si="3"/>
        <v>NA</v>
      </c>
      <c r="P14" s="58">
        <v>0</v>
      </c>
      <c r="Q14" s="31" t="e">
        <f>P14/P22</f>
        <v>#DIV/0!</v>
      </c>
      <c r="R14" s="43"/>
    </row>
    <row r="15" spans="1:18" s="64" customFormat="1" ht="3" customHeight="1" x14ac:dyDescent="0.2">
      <c r="A15" s="67"/>
      <c r="D15" s="65"/>
      <c r="E15" s="66"/>
      <c r="G15" s="65"/>
      <c r="H15" s="66"/>
      <c r="J15" s="65"/>
      <c r="K15" s="66"/>
      <c r="M15" s="65"/>
      <c r="N15" s="66"/>
      <c r="P15" s="65"/>
      <c r="Q15" s="66"/>
    </row>
    <row r="16" spans="1:18" s="17" customFormat="1" ht="15" customHeight="1" x14ac:dyDescent="0.2">
      <c r="A16" s="302" t="s">
        <v>67</v>
      </c>
      <c r="B16" s="302"/>
      <c r="C16" s="303"/>
      <c r="D16" s="58">
        <v>0</v>
      </c>
      <c r="E16" s="31" t="e">
        <f>D16/D22</f>
        <v>#DIV/0!</v>
      </c>
      <c r="F16" s="22" t="str">
        <f t="shared" si="0"/>
        <v>NA</v>
      </c>
      <c r="G16" s="58">
        <v>0</v>
      </c>
      <c r="H16" s="31" t="e">
        <f>G16/G22</f>
        <v>#DIV/0!</v>
      </c>
      <c r="I16" s="22" t="str">
        <f t="shared" si="1"/>
        <v>NA</v>
      </c>
      <c r="J16" s="55">
        <v>0</v>
      </c>
      <c r="K16" s="31" t="e">
        <f>J16/J22</f>
        <v>#DIV/0!</v>
      </c>
      <c r="L16" s="22" t="str">
        <f t="shared" si="2"/>
        <v>NA</v>
      </c>
      <c r="M16" s="58">
        <v>0</v>
      </c>
      <c r="N16" s="31" t="e">
        <f>M16/M22</f>
        <v>#DIV/0!</v>
      </c>
      <c r="O16" s="22" t="str">
        <f t="shared" si="3"/>
        <v>NA</v>
      </c>
      <c r="P16" s="58">
        <v>0</v>
      </c>
      <c r="Q16" s="31" t="e">
        <f>P16/P22</f>
        <v>#DIV/0!</v>
      </c>
      <c r="R16" s="43"/>
    </row>
    <row r="17" spans="1:18" s="64" customFormat="1" ht="3" customHeight="1" x14ac:dyDescent="0.2">
      <c r="A17" s="67"/>
      <c r="D17" s="65"/>
      <c r="E17" s="66"/>
      <c r="G17" s="65"/>
      <c r="H17" s="66"/>
      <c r="J17" s="65"/>
      <c r="K17" s="66"/>
      <c r="M17" s="65"/>
      <c r="N17" s="66"/>
      <c r="P17" s="65"/>
      <c r="Q17" s="66"/>
    </row>
    <row r="18" spans="1:18" s="17" customFormat="1" ht="15.75" customHeight="1" x14ac:dyDescent="0.2">
      <c r="A18" s="302" t="s">
        <v>59</v>
      </c>
      <c r="B18" s="302"/>
      <c r="C18" s="303"/>
      <c r="D18" s="58">
        <v>0</v>
      </c>
      <c r="E18" s="31" t="e">
        <f>D18/D22</f>
        <v>#DIV/0!</v>
      </c>
      <c r="F18" s="22" t="str">
        <f t="shared" si="0"/>
        <v>NA</v>
      </c>
      <c r="G18" s="58">
        <v>0</v>
      </c>
      <c r="H18" s="31" t="e">
        <f>G18/G22</f>
        <v>#DIV/0!</v>
      </c>
      <c r="I18" s="22" t="str">
        <f t="shared" si="1"/>
        <v>NA</v>
      </c>
      <c r="J18" s="55">
        <v>0</v>
      </c>
      <c r="K18" s="31" t="e">
        <f>J18/J22</f>
        <v>#DIV/0!</v>
      </c>
      <c r="L18" s="22" t="str">
        <f t="shared" si="2"/>
        <v>NA</v>
      </c>
      <c r="M18" s="58">
        <v>0</v>
      </c>
      <c r="N18" s="31" t="e">
        <f>M18/M22</f>
        <v>#DIV/0!</v>
      </c>
      <c r="O18" s="22" t="str">
        <f t="shared" si="3"/>
        <v>NA</v>
      </c>
      <c r="P18" s="58">
        <v>0</v>
      </c>
      <c r="Q18" s="31" t="e">
        <f>P18/P22</f>
        <v>#DIV/0!</v>
      </c>
      <c r="R18" s="43"/>
    </row>
    <row r="19" spans="1:18" s="64" customFormat="1" ht="3" customHeight="1" x14ac:dyDescent="0.2">
      <c r="A19" s="67"/>
      <c r="D19" s="65"/>
      <c r="E19" s="66"/>
      <c r="G19" s="65"/>
      <c r="H19" s="66"/>
      <c r="J19" s="65"/>
      <c r="K19" s="66"/>
      <c r="M19" s="65"/>
      <c r="N19" s="66"/>
      <c r="P19" s="65"/>
      <c r="Q19" s="66"/>
    </row>
    <row r="20" spans="1:18" s="17" customFormat="1" ht="12" x14ac:dyDescent="0.2">
      <c r="A20" s="308" t="s">
        <v>60</v>
      </c>
      <c r="B20" s="308"/>
      <c r="C20" s="309"/>
      <c r="D20" s="57">
        <v>0</v>
      </c>
      <c r="E20" s="32"/>
      <c r="F20" s="21" t="str">
        <f t="shared" si="0"/>
        <v>NA</v>
      </c>
      <c r="G20" s="57">
        <v>0</v>
      </c>
      <c r="H20" s="32"/>
      <c r="I20" s="21" t="str">
        <f t="shared" si="1"/>
        <v>NA</v>
      </c>
      <c r="J20" s="57">
        <v>0</v>
      </c>
      <c r="K20" s="32"/>
      <c r="L20" s="21" t="str">
        <f t="shared" si="2"/>
        <v>NA</v>
      </c>
      <c r="M20" s="57">
        <v>0</v>
      </c>
      <c r="N20" s="32"/>
      <c r="O20" s="21" t="str">
        <f t="shared" si="3"/>
        <v>NA</v>
      </c>
      <c r="P20" s="57">
        <v>0</v>
      </c>
      <c r="Q20" s="32"/>
      <c r="R20" s="43"/>
    </row>
    <row r="21" spans="1:18" s="64" customFormat="1" ht="3" customHeight="1" x14ac:dyDescent="0.2">
      <c r="A21" s="67"/>
      <c r="D21" s="65"/>
      <c r="E21" s="66"/>
      <c r="G21" s="65"/>
      <c r="H21" s="66"/>
      <c r="J21" s="65"/>
      <c r="K21" s="66"/>
      <c r="M21" s="65"/>
      <c r="N21" s="66"/>
      <c r="P21" s="65"/>
      <c r="Q21" s="66"/>
    </row>
    <row r="22" spans="1:18" s="4" customFormat="1" ht="15" customHeight="1" x14ac:dyDescent="0.2">
      <c r="A22" s="326" t="s">
        <v>58</v>
      </c>
      <c r="B22" s="326"/>
      <c r="C22" s="331"/>
      <c r="D22" s="188">
        <f>D8+D14+D16+D18</f>
        <v>0</v>
      </c>
      <c r="E22" s="189" t="e">
        <f>D22/D22</f>
        <v>#DIV/0!</v>
      </c>
      <c r="F22" s="190" t="str">
        <f t="shared" si="0"/>
        <v>NA</v>
      </c>
      <c r="G22" s="188">
        <f>G8+G14+G16+G18</f>
        <v>0</v>
      </c>
      <c r="H22" s="189" t="e">
        <f>G22/G22</f>
        <v>#DIV/0!</v>
      </c>
      <c r="I22" s="190" t="str">
        <f t="shared" si="1"/>
        <v>NA</v>
      </c>
      <c r="J22" s="188">
        <f>J8+J14+J16+J18</f>
        <v>0</v>
      </c>
      <c r="K22" s="189" t="e">
        <f>J22/J22</f>
        <v>#DIV/0!</v>
      </c>
      <c r="L22" s="190" t="str">
        <f t="shared" si="2"/>
        <v>NA</v>
      </c>
      <c r="M22" s="188">
        <f>M8+M14+M16+M18</f>
        <v>0</v>
      </c>
      <c r="N22" s="189" t="e">
        <f>M22/M22</f>
        <v>#DIV/0!</v>
      </c>
      <c r="O22" s="190" t="str">
        <f t="shared" si="3"/>
        <v>NA</v>
      </c>
      <c r="P22" s="188">
        <f>P8+P14+P16+P18</f>
        <v>0</v>
      </c>
      <c r="Q22" s="189" t="e">
        <f>P22/P22</f>
        <v>#DIV/0!</v>
      </c>
      <c r="R22" s="51"/>
    </row>
    <row r="23" spans="1:18" s="64" customFormat="1" ht="3" customHeight="1" x14ac:dyDescent="0.2">
      <c r="A23" s="67"/>
      <c r="D23" s="65"/>
      <c r="E23" s="66"/>
      <c r="G23" s="65"/>
      <c r="H23" s="66"/>
      <c r="J23" s="65"/>
      <c r="K23" s="66"/>
      <c r="M23" s="65"/>
      <c r="N23" s="66"/>
      <c r="P23" s="65"/>
      <c r="Q23" s="66"/>
    </row>
    <row r="24" spans="1:18" s="1" customFormat="1" ht="15" customHeight="1" x14ac:dyDescent="0.2">
      <c r="A24" s="304" t="s">
        <v>61</v>
      </c>
      <c r="B24" s="304"/>
      <c r="C24" s="305"/>
      <c r="D24" s="59">
        <v>0</v>
      </c>
      <c r="E24" s="33" t="e">
        <f>D24/D8</f>
        <v>#DIV/0!</v>
      </c>
      <c r="F24" s="20" t="str">
        <f t="shared" si="0"/>
        <v>NA</v>
      </c>
      <c r="G24" s="59">
        <v>0</v>
      </c>
      <c r="H24" s="33" t="e">
        <f>G24/G8</f>
        <v>#DIV/0!</v>
      </c>
      <c r="I24" s="20" t="str">
        <f t="shared" si="1"/>
        <v>NA</v>
      </c>
      <c r="J24" s="59">
        <v>0</v>
      </c>
      <c r="K24" s="33" t="e">
        <f>J24/J8</f>
        <v>#DIV/0!</v>
      </c>
      <c r="L24" s="20" t="str">
        <f t="shared" si="2"/>
        <v>NA</v>
      </c>
      <c r="M24" s="59">
        <v>0</v>
      </c>
      <c r="N24" s="33" t="e">
        <f>M24/M8</f>
        <v>#DIV/0!</v>
      </c>
      <c r="O24" s="20" t="str">
        <f t="shared" si="3"/>
        <v>NA</v>
      </c>
      <c r="P24" s="59">
        <v>0</v>
      </c>
      <c r="Q24" s="33" t="e">
        <f>P24/P8</f>
        <v>#DIV/0!</v>
      </c>
      <c r="R24" s="23"/>
    </row>
    <row r="25" spans="1:18" s="64" customFormat="1" ht="3" customHeight="1" x14ac:dyDescent="0.2">
      <c r="A25" s="67"/>
      <c r="D25" s="65"/>
      <c r="E25" s="66"/>
      <c r="G25" s="65"/>
      <c r="H25" s="66"/>
      <c r="J25" s="65"/>
      <c r="K25" s="66"/>
      <c r="M25" s="65"/>
      <c r="N25" s="66"/>
      <c r="P25" s="65"/>
      <c r="Q25" s="66"/>
    </row>
    <row r="26" spans="1:18" s="1" customFormat="1" ht="15" customHeight="1" x14ac:dyDescent="0.2">
      <c r="A26" s="304" t="s">
        <v>62</v>
      </c>
      <c r="B26" s="304"/>
      <c r="C26" s="305"/>
      <c r="D26" s="59">
        <v>0</v>
      </c>
      <c r="E26" s="33" t="e">
        <f>D26/D8</f>
        <v>#DIV/0!</v>
      </c>
      <c r="F26" s="20" t="str">
        <f t="shared" si="0"/>
        <v>NA</v>
      </c>
      <c r="G26" s="59">
        <v>0</v>
      </c>
      <c r="H26" s="33" t="e">
        <f>G26/G8</f>
        <v>#DIV/0!</v>
      </c>
      <c r="I26" s="20" t="str">
        <f t="shared" si="1"/>
        <v>NA</v>
      </c>
      <c r="J26" s="59">
        <v>0</v>
      </c>
      <c r="K26" s="33" t="e">
        <f>J26/J8</f>
        <v>#DIV/0!</v>
      </c>
      <c r="L26" s="20" t="str">
        <f t="shared" si="2"/>
        <v>NA</v>
      </c>
      <c r="M26" s="59">
        <v>0</v>
      </c>
      <c r="N26" s="33" t="e">
        <f>M26/M8</f>
        <v>#DIV/0!</v>
      </c>
      <c r="O26" s="20" t="str">
        <f t="shared" si="3"/>
        <v>NA</v>
      </c>
      <c r="P26" s="59">
        <v>0</v>
      </c>
      <c r="Q26" s="33" t="e">
        <f>P26/P8</f>
        <v>#DIV/0!</v>
      </c>
      <c r="R26" s="23"/>
    </row>
    <row r="27" spans="1:18" s="64" customFormat="1" ht="3" customHeight="1" x14ac:dyDescent="0.2">
      <c r="A27" s="67"/>
      <c r="D27" s="65"/>
      <c r="E27" s="66"/>
      <c r="G27" s="65"/>
      <c r="H27" s="66"/>
      <c r="J27" s="65"/>
      <c r="K27" s="66"/>
      <c r="M27" s="65"/>
      <c r="N27" s="66"/>
      <c r="P27" s="65"/>
      <c r="Q27" s="66"/>
    </row>
    <row r="28" spans="1:18" ht="15" customHeight="1" x14ac:dyDescent="0.2">
      <c r="A28" s="318" t="s">
        <v>99</v>
      </c>
      <c r="B28" s="318"/>
      <c r="C28" s="318"/>
      <c r="D28" s="185">
        <f>D22+SUM(D24:D26)</f>
        <v>0</v>
      </c>
      <c r="E28" s="186" t="e">
        <f>D28/D8</f>
        <v>#DIV/0!</v>
      </c>
      <c r="F28" s="187" t="str">
        <f t="shared" si="0"/>
        <v>NA</v>
      </c>
      <c r="G28" s="185">
        <f>G22+SUM(G24:G26)</f>
        <v>0</v>
      </c>
      <c r="H28" s="186" t="e">
        <f>G28/G8</f>
        <v>#DIV/0!</v>
      </c>
      <c r="I28" s="187" t="str">
        <f t="shared" si="1"/>
        <v>NA</v>
      </c>
      <c r="J28" s="185">
        <f>J22+SUM(J24:J26)</f>
        <v>0</v>
      </c>
      <c r="K28" s="186" t="e">
        <f>J28/J8</f>
        <v>#DIV/0!</v>
      </c>
      <c r="L28" s="187" t="str">
        <f t="shared" si="2"/>
        <v>NA</v>
      </c>
      <c r="M28" s="185">
        <f>M22+SUM(M24:M26)</f>
        <v>0</v>
      </c>
      <c r="N28" s="186" t="e">
        <f>M28/M8</f>
        <v>#DIV/0!</v>
      </c>
      <c r="O28" s="187" t="str">
        <f t="shared" si="3"/>
        <v>NA</v>
      </c>
      <c r="P28" s="185">
        <f>P22+SUM(P24:P26)</f>
        <v>0</v>
      </c>
      <c r="Q28" s="186" t="e">
        <f>P28/P8</f>
        <v>#DIV/0!</v>
      </c>
      <c r="R28" s="15"/>
    </row>
    <row r="29" spans="1:18" s="64" customFormat="1" ht="3" customHeight="1" x14ac:dyDescent="0.2">
      <c r="A29" s="67"/>
      <c r="D29" s="65"/>
      <c r="E29" s="66"/>
      <c r="G29" s="65"/>
      <c r="H29" s="66"/>
      <c r="J29" s="65"/>
      <c r="K29" s="66"/>
      <c r="M29" s="65"/>
      <c r="N29" s="66"/>
      <c r="P29" s="65"/>
      <c r="Q29" s="66"/>
    </row>
    <row r="30" spans="1:18" s="1" customFormat="1" ht="15" customHeight="1" x14ac:dyDescent="0.2">
      <c r="A30" s="304" t="s">
        <v>111</v>
      </c>
      <c r="B30" s="304"/>
      <c r="C30" s="305"/>
      <c r="D30" s="59">
        <v>0</v>
      </c>
      <c r="E30" s="33" t="e">
        <f>D30/D8</f>
        <v>#DIV/0!</v>
      </c>
      <c r="F30" s="20" t="str">
        <f t="shared" si="0"/>
        <v>NA</v>
      </c>
      <c r="G30" s="59">
        <v>0</v>
      </c>
      <c r="H30" s="33" t="e">
        <f>G30/G8</f>
        <v>#DIV/0!</v>
      </c>
      <c r="I30" s="20" t="str">
        <f t="shared" si="1"/>
        <v>NA</v>
      </c>
      <c r="J30" s="59">
        <v>0</v>
      </c>
      <c r="K30" s="33" t="e">
        <f>J30/J8</f>
        <v>#DIV/0!</v>
      </c>
      <c r="L30" s="20" t="str">
        <f t="shared" si="2"/>
        <v>NA</v>
      </c>
      <c r="M30" s="59">
        <v>0</v>
      </c>
      <c r="N30" s="33" t="e">
        <f>M30/M8</f>
        <v>#DIV/0!</v>
      </c>
      <c r="O30" s="20" t="str">
        <f t="shared" si="3"/>
        <v>NA</v>
      </c>
      <c r="P30" s="59">
        <v>0</v>
      </c>
      <c r="Q30" s="33" t="e">
        <f>P30/P8</f>
        <v>#DIV/0!</v>
      </c>
      <c r="R30" s="23"/>
    </row>
    <row r="31" spans="1:18" s="64" customFormat="1" ht="3" customHeight="1" x14ac:dyDescent="0.2">
      <c r="A31" s="67"/>
      <c r="D31" s="65"/>
      <c r="E31" s="66"/>
      <c r="G31" s="65"/>
      <c r="H31" s="66"/>
      <c r="J31" s="65"/>
      <c r="K31" s="66"/>
      <c r="M31" s="65"/>
      <c r="N31" s="66"/>
      <c r="P31" s="65"/>
      <c r="Q31" s="66"/>
    </row>
    <row r="32" spans="1:18" s="1" customFormat="1" ht="15" customHeight="1" x14ac:dyDescent="0.2">
      <c r="A32" s="304" t="s">
        <v>68</v>
      </c>
      <c r="B32" s="304"/>
      <c r="C32" s="305"/>
      <c r="D32" s="59">
        <v>0</v>
      </c>
      <c r="E32" s="33" t="e">
        <f>D32/D8</f>
        <v>#DIV/0!</v>
      </c>
      <c r="F32" s="20" t="str">
        <f t="shared" si="0"/>
        <v>NA</v>
      </c>
      <c r="G32" s="59">
        <v>0</v>
      </c>
      <c r="H32" s="33" t="e">
        <f>G32/G8</f>
        <v>#DIV/0!</v>
      </c>
      <c r="I32" s="20" t="str">
        <f t="shared" si="1"/>
        <v>NA</v>
      </c>
      <c r="J32" s="59">
        <v>0</v>
      </c>
      <c r="K32" s="33" t="e">
        <f>J32/J8</f>
        <v>#DIV/0!</v>
      </c>
      <c r="L32" s="20" t="str">
        <f t="shared" si="2"/>
        <v>NA</v>
      </c>
      <c r="M32" s="59">
        <v>0</v>
      </c>
      <c r="N32" s="33" t="e">
        <f>M32/M8</f>
        <v>#DIV/0!</v>
      </c>
      <c r="O32" s="20" t="str">
        <f t="shared" si="3"/>
        <v>NA</v>
      </c>
      <c r="P32" s="59">
        <v>0</v>
      </c>
      <c r="Q32" s="33" t="e">
        <f>P32/P8</f>
        <v>#DIV/0!</v>
      </c>
      <c r="R32" s="23"/>
    </row>
    <row r="33" spans="1:18" s="64" customFormat="1" ht="3" customHeight="1" x14ac:dyDescent="0.2">
      <c r="A33" s="67"/>
      <c r="D33" s="65"/>
      <c r="E33" s="66"/>
      <c r="G33" s="65"/>
      <c r="H33" s="66"/>
      <c r="J33" s="65"/>
      <c r="K33" s="66"/>
      <c r="M33" s="65"/>
      <c r="N33" s="66"/>
      <c r="P33" s="65"/>
      <c r="Q33" s="66"/>
    </row>
    <row r="34" spans="1:18" s="17" customFormat="1" ht="15" customHeight="1" x14ac:dyDescent="0.2">
      <c r="A34" s="308" t="s">
        <v>83</v>
      </c>
      <c r="B34" s="308"/>
      <c r="C34" s="309"/>
      <c r="D34" s="57">
        <v>0</v>
      </c>
      <c r="E34" s="32"/>
      <c r="F34" s="21" t="str">
        <f t="shared" si="0"/>
        <v>NA</v>
      </c>
      <c r="G34" s="57">
        <v>0</v>
      </c>
      <c r="H34" s="32"/>
      <c r="I34" s="21" t="str">
        <f t="shared" si="1"/>
        <v>NA</v>
      </c>
      <c r="J34" s="57">
        <v>0</v>
      </c>
      <c r="K34" s="32"/>
      <c r="L34" s="21" t="str">
        <f t="shared" si="2"/>
        <v>NA</v>
      </c>
      <c r="M34" s="57">
        <v>0</v>
      </c>
      <c r="N34" s="32"/>
      <c r="O34" s="21" t="str">
        <f t="shared" si="3"/>
        <v>NA</v>
      </c>
      <c r="P34" s="57">
        <v>0</v>
      </c>
      <c r="Q34" s="32"/>
      <c r="R34" s="43"/>
    </row>
    <row r="35" spans="1:18" s="64" customFormat="1" ht="3" customHeight="1" x14ac:dyDescent="0.2">
      <c r="A35" s="67"/>
      <c r="D35" s="65"/>
      <c r="E35" s="66"/>
      <c r="G35" s="65"/>
      <c r="H35" s="66"/>
      <c r="J35" s="65"/>
      <c r="K35" s="66"/>
      <c r="M35" s="65"/>
      <c r="N35" s="66"/>
      <c r="P35" s="65"/>
      <c r="Q35" s="66"/>
    </row>
    <row r="36" spans="1:18" s="17" customFormat="1" ht="15" customHeight="1" x14ac:dyDescent="0.2">
      <c r="A36" s="327" t="s">
        <v>118</v>
      </c>
      <c r="B36" s="327"/>
      <c r="C36" s="328"/>
      <c r="D36" s="69">
        <v>0</v>
      </c>
      <c r="E36" s="32"/>
      <c r="F36" s="21" t="str">
        <f t="shared" si="0"/>
        <v>NA</v>
      </c>
      <c r="G36" s="69">
        <v>0</v>
      </c>
      <c r="H36" s="32"/>
      <c r="I36" s="21" t="str">
        <f t="shared" si="1"/>
        <v>NA</v>
      </c>
      <c r="J36" s="57">
        <v>0</v>
      </c>
      <c r="K36" s="32"/>
      <c r="L36" s="21" t="str">
        <f t="shared" si="2"/>
        <v>NA</v>
      </c>
      <c r="M36" s="69">
        <v>0</v>
      </c>
      <c r="N36" s="32"/>
      <c r="O36" s="21" t="str">
        <f t="shared" si="3"/>
        <v>NA</v>
      </c>
      <c r="P36" s="69">
        <v>0</v>
      </c>
      <c r="Q36" s="32"/>
      <c r="R36" s="43"/>
    </row>
    <row r="37" spans="1:18" s="224" customFormat="1" ht="3" customHeight="1" x14ac:dyDescent="0.2">
      <c r="A37" s="218"/>
      <c r="B37" s="218"/>
      <c r="C37" s="219"/>
      <c r="D37" s="220">
        <v>0</v>
      </c>
      <c r="E37" s="221"/>
      <c r="F37" s="222"/>
      <c r="G37" s="220">
        <v>0</v>
      </c>
      <c r="H37" s="221"/>
      <c r="I37" s="222"/>
      <c r="J37" s="220"/>
      <c r="K37" s="221"/>
      <c r="L37" s="222"/>
      <c r="M37" s="220"/>
      <c r="N37" s="221"/>
      <c r="O37" s="222"/>
      <c r="P37" s="220"/>
      <c r="Q37" s="221"/>
      <c r="R37" s="223"/>
    </row>
    <row r="38" spans="1:18" s="213" customFormat="1" ht="15" customHeight="1" x14ac:dyDescent="0.2">
      <c r="A38" s="329" t="s">
        <v>123</v>
      </c>
      <c r="B38" s="329"/>
      <c r="C38" s="330"/>
      <c r="D38" s="211">
        <v>0</v>
      </c>
      <c r="E38" s="212"/>
      <c r="G38" s="211">
        <v>0</v>
      </c>
      <c r="H38" s="212"/>
      <c r="J38" s="211">
        <v>0</v>
      </c>
      <c r="K38" s="212"/>
      <c r="M38" s="214"/>
      <c r="N38" s="212"/>
      <c r="P38" s="214"/>
      <c r="Q38" s="212"/>
    </row>
    <row r="39" spans="1:18" s="64" customFormat="1" ht="3" customHeight="1" x14ac:dyDescent="0.2">
      <c r="A39" s="67"/>
      <c r="D39" s="65"/>
      <c r="E39" s="66"/>
      <c r="G39" s="65"/>
      <c r="H39" s="66"/>
      <c r="J39" s="65"/>
      <c r="K39" s="66"/>
      <c r="M39" s="65"/>
      <c r="N39" s="66"/>
      <c r="P39" s="65"/>
      <c r="Q39" s="66"/>
    </row>
    <row r="40" spans="1:18" ht="15" customHeight="1" x14ac:dyDescent="0.2">
      <c r="A40" s="318" t="s">
        <v>63</v>
      </c>
      <c r="B40" s="318"/>
      <c r="C40" s="318"/>
      <c r="D40" s="185">
        <f>D28+SUM(D30:D32)</f>
        <v>0</v>
      </c>
      <c r="E40" s="186" t="e">
        <f>D40/D8</f>
        <v>#DIV/0!</v>
      </c>
      <c r="F40" s="187" t="str">
        <f t="shared" si="0"/>
        <v>NA</v>
      </c>
      <c r="G40" s="185">
        <f>G28+SUM(G30:G32)</f>
        <v>0</v>
      </c>
      <c r="H40" s="186" t="e">
        <f>G40/G8</f>
        <v>#DIV/0!</v>
      </c>
      <c r="I40" s="187" t="str">
        <f t="shared" si="1"/>
        <v>NA</v>
      </c>
      <c r="J40" s="185">
        <f>J28+SUM(J30:J32)</f>
        <v>0</v>
      </c>
      <c r="K40" s="186" t="e">
        <f>J40/J8</f>
        <v>#DIV/0!</v>
      </c>
      <c r="L40" s="187" t="str">
        <f t="shared" si="2"/>
        <v>NA</v>
      </c>
      <c r="M40" s="185">
        <f>M28+SUM(M30:M32)</f>
        <v>0</v>
      </c>
      <c r="N40" s="186" t="e">
        <f>M40/M8</f>
        <v>#DIV/0!</v>
      </c>
      <c r="O40" s="187" t="str">
        <f t="shared" si="3"/>
        <v>NA</v>
      </c>
      <c r="P40" s="185">
        <f>P28+SUM(P30:P32)</f>
        <v>0</v>
      </c>
      <c r="Q40" s="186" t="e">
        <f>P40/P8</f>
        <v>#DIV/0!</v>
      </c>
      <c r="R40" s="15"/>
    </row>
    <row r="41" spans="1:18" s="64" customFormat="1" ht="3" customHeight="1" x14ac:dyDescent="0.2">
      <c r="A41" s="67"/>
      <c r="D41" s="65"/>
      <c r="E41" s="66"/>
      <c r="G41" s="65"/>
      <c r="H41" s="66"/>
      <c r="J41" s="65"/>
      <c r="K41" s="66"/>
      <c r="M41" s="65"/>
      <c r="N41" s="66"/>
      <c r="P41" s="65"/>
      <c r="Q41" s="66"/>
    </row>
    <row r="42" spans="1:18" s="11" customFormat="1" ht="38.25" customHeight="1" x14ac:dyDescent="0.2">
      <c r="A42" s="320" t="s">
        <v>69</v>
      </c>
      <c r="B42" s="320"/>
      <c r="C42" s="321"/>
      <c r="D42" s="60">
        <v>0</v>
      </c>
      <c r="E42" s="34"/>
      <c r="F42" s="29" t="str">
        <f t="shared" si="0"/>
        <v>NA</v>
      </c>
      <c r="G42" s="60">
        <v>0</v>
      </c>
      <c r="H42" s="34"/>
      <c r="I42" s="29" t="str">
        <f t="shared" si="1"/>
        <v>NA</v>
      </c>
      <c r="J42" s="60">
        <v>0</v>
      </c>
      <c r="K42" s="34"/>
      <c r="L42" s="29" t="str">
        <f t="shared" si="2"/>
        <v>NA</v>
      </c>
      <c r="M42" s="60">
        <v>0</v>
      </c>
      <c r="N42" s="34"/>
      <c r="O42" s="29" t="str">
        <f t="shared" si="3"/>
        <v>NA</v>
      </c>
      <c r="P42" s="60">
        <v>0</v>
      </c>
      <c r="Q42" s="34"/>
      <c r="R42" s="44"/>
    </row>
    <row r="43" spans="1:18" s="64" customFormat="1" ht="3" customHeight="1" x14ac:dyDescent="0.2">
      <c r="A43" s="67"/>
      <c r="D43" s="65"/>
      <c r="E43" s="66"/>
      <c r="G43" s="65"/>
      <c r="H43" s="66"/>
      <c r="J43" s="65"/>
      <c r="K43" s="66"/>
      <c r="M43" s="65"/>
      <c r="N43" s="66"/>
      <c r="P43" s="65"/>
      <c r="Q43" s="66"/>
    </row>
    <row r="44" spans="1:18" s="11" customFormat="1" ht="39" customHeight="1" x14ac:dyDescent="0.2">
      <c r="A44" s="320" t="s">
        <v>70</v>
      </c>
      <c r="B44" s="320"/>
      <c r="C44" s="321"/>
      <c r="D44" s="60">
        <v>0</v>
      </c>
      <c r="E44" s="34"/>
      <c r="F44" s="29" t="str">
        <f t="shared" si="0"/>
        <v>NA</v>
      </c>
      <c r="G44" s="60">
        <v>0</v>
      </c>
      <c r="H44" s="34"/>
      <c r="I44" s="29" t="str">
        <f t="shared" si="1"/>
        <v>NA</v>
      </c>
      <c r="J44" s="60">
        <v>0</v>
      </c>
      <c r="K44" s="34"/>
      <c r="L44" s="29" t="str">
        <f t="shared" si="2"/>
        <v>NA</v>
      </c>
      <c r="M44" s="60">
        <v>0</v>
      </c>
      <c r="N44" s="34"/>
      <c r="O44" s="29" t="str">
        <f t="shared" si="3"/>
        <v>NA</v>
      </c>
      <c r="P44" s="60">
        <v>0</v>
      </c>
      <c r="Q44" s="34"/>
      <c r="R44" s="44"/>
    </row>
    <row r="45" spans="1:18" s="64" customFormat="1" ht="3" customHeight="1" x14ac:dyDescent="0.2">
      <c r="A45" s="67"/>
      <c r="D45" s="65"/>
      <c r="E45" s="66"/>
      <c r="G45" s="65"/>
      <c r="H45" s="66"/>
      <c r="J45" s="65"/>
      <c r="K45" s="66"/>
      <c r="M45" s="65"/>
      <c r="N45" s="66"/>
      <c r="P45" s="65"/>
      <c r="Q45" s="66"/>
    </row>
    <row r="46" spans="1:18" s="18" customFormat="1" ht="15" customHeight="1" x14ac:dyDescent="0.2">
      <c r="A46" s="306" t="s">
        <v>71</v>
      </c>
      <c r="B46" s="306"/>
      <c r="C46" s="307"/>
      <c r="D46" s="35">
        <f>D42+D44</f>
        <v>0</v>
      </c>
      <c r="E46" s="36" t="e">
        <f>D46/D8</f>
        <v>#DIV/0!</v>
      </c>
      <c r="F46" s="30" t="str">
        <f t="shared" si="0"/>
        <v>NA</v>
      </c>
      <c r="G46" s="35">
        <f>G42+G44</f>
        <v>0</v>
      </c>
      <c r="H46" s="36" t="e">
        <f>G46/G8</f>
        <v>#DIV/0!</v>
      </c>
      <c r="I46" s="30" t="str">
        <f t="shared" si="1"/>
        <v>NA</v>
      </c>
      <c r="J46" s="35">
        <f>J42+J44</f>
        <v>0</v>
      </c>
      <c r="K46" s="36" t="e">
        <f>J46/J8</f>
        <v>#DIV/0!</v>
      </c>
      <c r="L46" s="30" t="str">
        <f t="shared" si="2"/>
        <v>NA</v>
      </c>
      <c r="M46" s="35">
        <f>M42+M44</f>
        <v>0</v>
      </c>
      <c r="N46" s="36" t="e">
        <f>M46/M8</f>
        <v>#DIV/0!</v>
      </c>
      <c r="O46" s="30" t="str">
        <f t="shared" si="3"/>
        <v>NA</v>
      </c>
      <c r="P46" s="35">
        <f>P42+P44</f>
        <v>0</v>
      </c>
      <c r="Q46" s="36" t="e">
        <f>P46/P8</f>
        <v>#DIV/0!</v>
      </c>
      <c r="R46" s="45"/>
    </row>
    <row r="47" spans="1:18" s="64" customFormat="1" ht="3" customHeight="1" x14ac:dyDescent="0.2">
      <c r="A47" s="67"/>
      <c r="D47" s="65"/>
      <c r="E47" s="66"/>
      <c r="G47" s="65"/>
      <c r="H47" s="66"/>
      <c r="J47" s="65"/>
      <c r="K47" s="66"/>
      <c r="M47" s="65"/>
      <c r="N47" s="66"/>
      <c r="P47" s="65"/>
      <c r="Q47" s="66"/>
    </row>
    <row r="48" spans="1:18" ht="15" customHeight="1" x14ac:dyDescent="0.2">
      <c r="A48" s="326" t="s">
        <v>78</v>
      </c>
      <c r="B48" s="326"/>
      <c r="C48" s="326"/>
      <c r="D48" s="188">
        <f>SUM(D24:D26)+SUM(D30:D32)+D46</f>
        <v>0</v>
      </c>
      <c r="E48" s="189" t="e">
        <f>D48/D8</f>
        <v>#DIV/0!</v>
      </c>
      <c r="F48" s="190" t="str">
        <f t="shared" si="0"/>
        <v>NA</v>
      </c>
      <c r="G48" s="188">
        <f>SUM(G24:G26)+SUM(G30:G32)+G46</f>
        <v>0</v>
      </c>
      <c r="H48" s="189" t="e">
        <f>G48/G8</f>
        <v>#DIV/0!</v>
      </c>
      <c r="I48" s="190" t="str">
        <f t="shared" si="1"/>
        <v>NA</v>
      </c>
      <c r="J48" s="188">
        <f>SUM(J24:J26)+SUM(J30:J32)+J46</f>
        <v>0</v>
      </c>
      <c r="K48" s="189" t="e">
        <f>J48/J8</f>
        <v>#DIV/0!</v>
      </c>
      <c r="L48" s="190" t="str">
        <f t="shared" si="2"/>
        <v>NA</v>
      </c>
      <c r="M48" s="188">
        <f>SUM(M24:M26)+SUM(M30:M32)+M46</f>
        <v>0</v>
      </c>
      <c r="N48" s="189" t="e">
        <f>M48/M8</f>
        <v>#DIV/0!</v>
      </c>
      <c r="O48" s="190" t="str">
        <f t="shared" si="3"/>
        <v>NA</v>
      </c>
      <c r="P48" s="188">
        <f>SUM(P24:P26)+SUM(P30:P32)+P46</f>
        <v>0</v>
      </c>
      <c r="Q48" s="189" t="e">
        <f>P48/P8</f>
        <v>#DIV/0!</v>
      </c>
      <c r="R48" s="15"/>
    </row>
    <row r="49" spans="1:18" x14ac:dyDescent="0.2">
      <c r="A49" s="322"/>
      <c r="B49" s="322"/>
      <c r="C49" s="322"/>
      <c r="D49" s="25"/>
      <c r="E49" s="37"/>
      <c r="F49" s="22"/>
      <c r="G49" s="25"/>
      <c r="H49" s="37"/>
      <c r="I49" s="22"/>
      <c r="J49" s="25"/>
      <c r="K49" s="37"/>
      <c r="L49" s="22"/>
      <c r="M49" s="25"/>
      <c r="N49" s="37"/>
      <c r="O49" s="22"/>
      <c r="P49" s="25"/>
      <c r="Q49" s="37"/>
      <c r="R49" s="15"/>
    </row>
    <row r="50" spans="1:18" s="28" customFormat="1" ht="15" customHeight="1" thickBot="1" x14ac:dyDescent="0.25">
      <c r="A50" s="323" t="s">
        <v>64</v>
      </c>
      <c r="B50" s="323"/>
      <c r="C50" s="323"/>
      <c r="D50" s="191">
        <f>D22+D48</f>
        <v>0</v>
      </c>
      <c r="E50" s="192" t="e">
        <f>D50/D8</f>
        <v>#DIV/0!</v>
      </c>
      <c r="F50" s="193" t="str">
        <f t="shared" si="0"/>
        <v>NA</v>
      </c>
      <c r="G50" s="191">
        <f>G22+G48</f>
        <v>0</v>
      </c>
      <c r="H50" s="192" t="e">
        <f>G50/G8</f>
        <v>#DIV/0!</v>
      </c>
      <c r="I50" s="193" t="str">
        <f t="shared" si="1"/>
        <v>NA</v>
      </c>
      <c r="J50" s="191">
        <f>J22+J48</f>
        <v>0</v>
      </c>
      <c r="K50" s="192" t="e">
        <f>J50/J8</f>
        <v>#DIV/0!</v>
      </c>
      <c r="L50" s="193" t="str">
        <f t="shared" si="2"/>
        <v>NA</v>
      </c>
      <c r="M50" s="191">
        <f>M22+M48</f>
        <v>0</v>
      </c>
      <c r="N50" s="192" t="e">
        <f>M50/M8</f>
        <v>#DIV/0!</v>
      </c>
      <c r="O50" s="193" t="str">
        <f t="shared" si="3"/>
        <v>NA</v>
      </c>
      <c r="P50" s="191">
        <f>P22+P48</f>
        <v>0</v>
      </c>
      <c r="Q50" s="192" t="e">
        <f>P50/P8</f>
        <v>#DIV/0!</v>
      </c>
      <c r="R50" s="46"/>
    </row>
    <row r="51" spans="1:18" s="64" customFormat="1" ht="3" customHeight="1" thickTop="1" x14ac:dyDescent="0.2">
      <c r="A51" s="67"/>
      <c r="D51" s="65"/>
      <c r="E51" s="66"/>
      <c r="G51" s="65"/>
      <c r="H51" s="66"/>
      <c r="J51" s="65"/>
      <c r="K51" s="66"/>
      <c r="M51" s="65"/>
      <c r="N51" s="66"/>
      <c r="P51" s="65"/>
      <c r="Q51" s="66"/>
    </row>
    <row r="52" spans="1:18" s="1" customFormat="1" ht="12" x14ac:dyDescent="0.2">
      <c r="A52" s="324" t="s">
        <v>65</v>
      </c>
      <c r="B52" s="324"/>
      <c r="C52" s="325"/>
      <c r="D52" s="61">
        <v>0</v>
      </c>
      <c r="E52" s="26"/>
      <c r="F52" s="29" t="str">
        <f t="shared" si="0"/>
        <v>NA</v>
      </c>
      <c r="G52" s="61">
        <v>0</v>
      </c>
      <c r="H52" s="26"/>
      <c r="I52" s="29" t="str">
        <f t="shared" si="1"/>
        <v>NA</v>
      </c>
      <c r="J52" s="61">
        <v>0</v>
      </c>
      <c r="K52" s="26"/>
      <c r="L52" s="29" t="str">
        <f t="shared" si="2"/>
        <v>NA</v>
      </c>
      <c r="M52" s="61">
        <v>0</v>
      </c>
      <c r="N52" s="26"/>
      <c r="O52" s="29" t="str">
        <f t="shared" si="3"/>
        <v>NA</v>
      </c>
      <c r="P52" s="61">
        <v>0</v>
      </c>
      <c r="Q52" s="26"/>
      <c r="R52" s="23"/>
    </row>
    <row r="53" spans="1:18" s="64" customFormat="1" ht="3" customHeight="1" x14ac:dyDescent="0.2">
      <c r="A53" s="67"/>
      <c r="D53" s="65"/>
      <c r="E53" s="66"/>
      <c r="G53" s="65"/>
      <c r="H53" s="66"/>
      <c r="J53" s="65"/>
      <c r="K53" s="66"/>
      <c r="M53" s="65"/>
      <c r="N53" s="66"/>
      <c r="P53" s="65"/>
      <c r="Q53" s="66"/>
    </row>
    <row r="54" spans="1:18" s="17" customFormat="1" ht="12" x14ac:dyDescent="0.2">
      <c r="A54" s="310" t="s">
        <v>82</v>
      </c>
      <c r="B54" s="310"/>
      <c r="C54" s="311"/>
      <c r="D54" s="62">
        <v>0</v>
      </c>
      <c r="E54" s="27"/>
      <c r="F54" s="29" t="str">
        <f t="shared" si="0"/>
        <v>NA</v>
      </c>
      <c r="G54" s="62">
        <v>0</v>
      </c>
      <c r="H54" s="27"/>
      <c r="I54" s="29" t="str">
        <f t="shared" si="1"/>
        <v>NA</v>
      </c>
      <c r="J54" s="62">
        <v>0</v>
      </c>
      <c r="K54" s="27"/>
      <c r="L54" s="29" t="str">
        <f t="shared" si="2"/>
        <v>NA</v>
      </c>
      <c r="M54" s="62">
        <v>0</v>
      </c>
      <c r="N54" s="27"/>
      <c r="O54" s="29" t="str">
        <f t="shared" si="3"/>
        <v>NA</v>
      </c>
      <c r="P54" s="62">
        <v>0</v>
      </c>
      <c r="Q54" s="27"/>
      <c r="R54" s="43"/>
    </row>
    <row r="55" spans="1:18" s="64" customFormat="1" ht="3" customHeight="1" x14ac:dyDescent="0.2">
      <c r="A55" s="67"/>
      <c r="D55" s="65"/>
      <c r="E55" s="66"/>
      <c r="G55" s="65"/>
      <c r="H55" s="66"/>
      <c r="J55" s="65"/>
      <c r="K55" s="66"/>
      <c r="M55" s="65"/>
      <c r="N55" s="66"/>
      <c r="P55" s="65"/>
      <c r="Q55" s="66"/>
    </row>
    <row r="56" spans="1:18" s="1" customFormat="1" ht="22.5" customHeight="1" x14ac:dyDescent="0.2">
      <c r="A56" s="312" t="s">
        <v>73</v>
      </c>
      <c r="B56" s="312"/>
      <c r="C56" s="313"/>
      <c r="D56" s="61">
        <v>0</v>
      </c>
      <c r="E56" s="26"/>
      <c r="F56" s="29" t="str">
        <f t="shared" si="0"/>
        <v>NA</v>
      </c>
      <c r="G56" s="61">
        <v>0</v>
      </c>
      <c r="H56" s="26"/>
      <c r="I56" s="29" t="str">
        <f t="shared" si="1"/>
        <v>NA</v>
      </c>
      <c r="J56" s="61">
        <v>0</v>
      </c>
      <c r="K56" s="26"/>
      <c r="L56" s="29" t="str">
        <f t="shared" si="2"/>
        <v>NA</v>
      </c>
      <c r="M56" s="61">
        <v>0</v>
      </c>
      <c r="N56" s="26"/>
      <c r="O56" s="29" t="str">
        <f t="shared" si="3"/>
        <v>NA</v>
      </c>
      <c r="P56" s="61">
        <v>0</v>
      </c>
      <c r="Q56" s="26"/>
      <c r="R56" s="23"/>
    </row>
    <row r="57" spans="1:18" s="64" customFormat="1" ht="3" customHeight="1" x14ac:dyDescent="0.2">
      <c r="A57" s="67"/>
      <c r="D57" s="65"/>
      <c r="E57" s="66"/>
      <c r="G57" s="65"/>
      <c r="H57" s="66"/>
      <c r="J57" s="65"/>
      <c r="K57" s="66"/>
      <c r="M57" s="65"/>
      <c r="N57" s="66"/>
      <c r="P57" s="65"/>
      <c r="Q57" s="66"/>
    </row>
    <row r="58" spans="1:18" s="17" customFormat="1" ht="12" x14ac:dyDescent="0.2">
      <c r="A58" s="310" t="s">
        <v>82</v>
      </c>
      <c r="B58" s="310"/>
      <c r="C58" s="311"/>
      <c r="D58" s="62">
        <v>0</v>
      </c>
      <c r="E58" s="27"/>
      <c r="F58" s="29" t="str">
        <f t="shared" si="0"/>
        <v>NA</v>
      </c>
      <c r="G58" s="62">
        <v>0</v>
      </c>
      <c r="H58" s="27"/>
      <c r="I58" s="29" t="str">
        <f t="shared" si="1"/>
        <v>NA</v>
      </c>
      <c r="J58" s="62">
        <v>0</v>
      </c>
      <c r="K58" s="27"/>
      <c r="L58" s="29" t="str">
        <f t="shared" si="2"/>
        <v>NA</v>
      </c>
      <c r="M58" s="62">
        <v>0</v>
      </c>
      <c r="N58" s="27"/>
      <c r="O58" s="29" t="str">
        <f t="shared" si="3"/>
        <v>NA</v>
      </c>
      <c r="P58" s="62">
        <v>0</v>
      </c>
      <c r="Q58" s="27"/>
      <c r="R58" s="43"/>
    </row>
    <row r="59" spans="1:18" s="64" customFormat="1" ht="3" customHeight="1" x14ac:dyDescent="0.2">
      <c r="A59" s="67"/>
      <c r="D59" s="65"/>
      <c r="E59" s="66"/>
      <c r="G59" s="65"/>
      <c r="H59" s="66"/>
      <c r="J59" s="65"/>
      <c r="K59" s="66"/>
      <c r="M59" s="65"/>
      <c r="N59" s="66"/>
      <c r="P59" s="65"/>
      <c r="Q59" s="66"/>
    </row>
    <row r="60" spans="1:18" s="1" customFormat="1" ht="12" x14ac:dyDescent="0.2">
      <c r="A60" s="312" t="s">
        <v>74</v>
      </c>
      <c r="B60" s="312"/>
      <c r="C60" s="313"/>
      <c r="D60" s="61">
        <v>0</v>
      </c>
      <c r="E60" s="26"/>
      <c r="F60" s="29" t="str">
        <f t="shared" si="0"/>
        <v>NA</v>
      </c>
      <c r="G60" s="61">
        <v>0</v>
      </c>
      <c r="H60" s="26"/>
      <c r="I60" s="29" t="str">
        <f t="shared" si="1"/>
        <v>NA</v>
      </c>
      <c r="J60" s="61">
        <v>0</v>
      </c>
      <c r="K60" s="26"/>
      <c r="L60" s="29" t="str">
        <f t="shared" si="2"/>
        <v>NA</v>
      </c>
      <c r="M60" s="61">
        <v>0</v>
      </c>
      <c r="N60" s="26"/>
      <c r="O60" s="29" t="str">
        <f t="shared" si="3"/>
        <v>NA</v>
      </c>
      <c r="P60" s="61">
        <v>0</v>
      </c>
      <c r="Q60" s="26"/>
      <c r="R60" s="23"/>
    </row>
    <row r="61" spans="1:18" s="64" customFormat="1" ht="3" customHeight="1" x14ac:dyDescent="0.2">
      <c r="A61" s="67"/>
      <c r="D61" s="65"/>
      <c r="E61" s="66"/>
      <c r="G61" s="65"/>
      <c r="H61" s="66"/>
      <c r="J61" s="65"/>
      <c r="K61" s="66"/>
      <c r="M61" s="65"/>
      <c r="N61" s="66"/>
      <c r="P61" s="65"/>
      <c r="Q61" s="66"/>
    </row>
    <row r="62" spans="1:18" s="17" customFormat="1" ht="12" x14ac:dyDescent="0.2">
      <c r="A62" s="310" t="s">
        <v>75</v>
      </c>
      <c r="B62" s="310"/>
      <c r="C62" s="311"/>
      <c r="D62" s="62">
        <v>0</v>
      </c>
      <c r="E62" s="27"/>
      <c r="F62" s="29" t="str">
        <f t="shared" si="0"/>
        <v>NA</v>
      </c>
      <c r="G62" s="62">
        <v>0</v>
      </c>
      <c r="H62" s="27"/>
      <c r="I62" s="29" t="str">
        <f t="shared" si="1"/>
        <v>NA</v>
      </c>
      <c r="J62" s="62">
        <v>0</v>
      </c>
      <c r="K62" s="27"/>
      <c r="L62" s="29" t="str">
        <f t="shared" si="2"/>
        <v>NA</v>
      </c>
      <c r="M62" s="62">
        <v>0</v>
      </c>
      <c r="N62" s="27"/>
      <c r="O62" s="29" t="str">
        <f t="shared" si="3"/>
        <v>NA</v>
      </c>
      <c r="P62" s="62">
        <v>0</v>
      </c>
      <c r="Q62" s="27"/>
      <c r="R62" s="43"/>
    </row>
    <row r="63" spans="1:18" s="64" customFormat="1" ht="3" customHeight="1" x14ac:dyDescent="0.2">
      <c r="A63" s="67"/>
      <c r="D63" s="65"/>
      <c r="E63" s="66"/>
      <c r="G63" s="65"/>
      <c r="H63" s="66"/>
      <c r="J63" s="65"/>
      <c r="K63" s="66"/>
      <c r="M63" s="65"/>
      <c r="N63" s="66"/>
      <c r="P63" s="65"/>
      <c r="Q63" s="66"/>
    </row>
    <row r="64" spans="1:18" s="19" customFormat="1" ht="25.5" customHeight="1" x14ac:dyDescent="0.2">
      <c r="A64" s="312" t="s">
        <v>76</v>
      </c>
      <c r="B64" s="312"/>
      <c r="C64" s="313"/>
      <c r="D64" s="61">
        <v>0</v>
      </c>
      <c r="E64" s="26"/>
      <c r="F64" s="29" t="str">
        <f t="shared" si="0"/>
        <v>NA</v>
      </c>
      <c r="G64" s="61">
        <v>0</v>
      </c>
      <c r="H64" s="26"/>
      <c r="I64" s="29" t="str">
        <f t="shared" si="1"/>
        <v>NA</v>
      </c>
      <c r="J64" s="61">
        <v>0</v>
      </c>
      <c r="K64" s="26"/>
      <c r="L64" s="29" t="str">
        <f t="shared" si="2"/>
        <v>NA</v>
      </c>
      <c r="M64" s="61">
        <v>0</v>
      </c>
      <c r="N64" s="26"/>
      <c r="O64" s="29" t="str">
        <f t="shared" si="3"/>
        <v>NA</v>
      </c>
      <c r="P64" s="61">
        <v>0</v>
      </c>
      <c r="Q64" s="26"/>
      <c r="R64" s="47"/>
    </row>
    <row r="65" spans="1:18" s="64" customFormat="1" ht="3" customHeight="1" x14ac:dyDescent="0.2">
      <c r="A65" s="67"/>
      <c r="D65" s="65"/>
      <c r="E65" s="66"/>
      <c r="G65" s="65"/>
      <c r="H65" s="66"/>
      <c r="J65" s="65"/>
      <c r="K65" s="66"/>
      <c r="M65" s="65"/>
      <c r="N65" s="66"/>
      <c r="P65" s="65"/>
      <c r="Q65" s="66"/>
    </row>
    <row r="66" spans="1:18" s="19" customFormat="1" ht="15" customHeight="1" x14ac:dyDescent="0.2">
      <c r="A66" s="312" t="s">
        <v>98</v>
      </c>
      <c r="B66" s="312"/>
      <c r="C66" s="313"/>
      <c r="D66" s="61">
        <v>0</v>
      </c>
      <c r="E66" s="26"/>
      <c r="F66" s="29" t="str">
        <f t="shared" si="0"/>
        <v>NA</v>
      </c>
      <c r="G66" s="61">
        <v>0</v>
      </c>
      <c r="H66" s="26"/>
      <c r="I66" s="29" t="str">
        <f t="shared" si="1"/>
        <v>NA</v>
      </c>
      <c r="J66" s="61">
        <v>0</v>
      </c>
      <c r="K66" s="26"/>
      <c r="L66" s="29" t="str">
        <f t="shared" si="2"/>
        <v>NA</v>
      </c>
      <c r="M66" s="61">
        <v>0</v>
      </c>
      <c r="N66" s="26"/>
      <c r="O66" s="29" t="str">
        <f t="shared" si="3"/>
        <v>NA</v>
      </c>
      <c r="P66" s="61">
        <v>0</v>
      </c>
      <c r="Q66" s="26"/>
      <c r="R66" s="47"/>
    </row>
    <row r="67" spans="1:18" s="64" customFormat="1" ht="3" customHeight="1" x14ac:dyDescent="0.2">
      <c r="A67" s="67"/>
      <c r="D67" s="65"/>
      <c r="E67" s="66"/>
      <c r="G67" s="65"/>
      <c r="H67" s="66"/>
      <c r="J67" s="65"/>
      <c r="K67" s="66"/>
      <c r="M67" s="65"/>
      <c r="N67" s="66"/>
      <c r="P67" s="65"/>
      <c r="Q67" s="66"/>
    </row>
    <row r="68" spans="1:18" s="8" customFormat="1" ht="15" customHeight="1" x14ac:dyDescent="0.2">
      <c r="A68" s="316" t="s">
        <v>77</v>
      </c>
      <c r="B68" s="316"/>
      <c r="C68" s="317"/>
      <c r="D68" s="38">
        <f>D52+D56+D60+D64+D66</f>
        <v>0</v>
      </c>
      <c r="E68" s="52" t="e">
        <f>D68/D8</f>
        <v>#DIV/0!</v>
      </c>
      <c r="F68" s="24" t="str">
        <f t="shared" si="0"/>
        <v>NA</v>
      </c>
      <c r="G68" s="38">
        <f>G52+G56+G60+G64+G66</f>
        <v>0</v>
      </c>
      <c r="H68" s="52" t="e">
        <f>G68/G8</f>
        <v>#DIV/0!</v>
      </c>
      <c r="I68" s="24" t="str">
        <f t="shared" si="1"/>
        <v>NA</v>
      </c>
      <c r="J68" s="38">
        <f>J52+J56+J60+J64+J66</f>
        <v>0</v>
      </c>
      <c r="K68" s="52" t="e">
        <f>J68/J8</f>
        <v>#DIV/0!</v>
      </c>
      <c r="L68" s="24" t="str">
        <f t="shared" si="2"/>
        <v>NA</v>
      </c>
      <c r="M68" s="38">
        <f>M52+M56+M60+M64+M66</f>
        <v>0</v>
      </c>
      <c r="N68" s="52" t="e">
        <f>M68/M8</f>
        <v>#DIV/0!</v>
      </c>
      <c r="O68" s="24" t="str">
        <f t="shared" si="3"/>
        <v>NA</v>
      </c>
      <c r="P68" s="38">
        <f>P52+P56+P60+P64+P66</f>
        <v>0</v>
      </c>
      <c r="Q68" s="52" t="e">
        <f>P68/P8</f>
        <v>#DIV/0!</v>
      </c>
      <c r="R68" s="48"/>
    </row>
    <row r="69" spans="1:18" s="64" customFormat="1" ht="3" customHeight="1" x14ac:dyDescent="0.2">
      <c r="A69" s="67"/>
      <c r="D69" s="65"/>
      <c r="E69" s="66"/>
      <c r="G69" s="65"/>
      <c r="H69" s="66"/>
      <c r="J69" s="65"/>
      <c r="K69" s="66"/>
      <c r="M69" s="65"/>
      <c r="N69" s="66"/>
      <c r="P69" s="65"/>
      <c r="Q69" s="66"/>
    </row>
    <row r="70" spans="1:18" ht="24" customHeight="1" x14ac:dyDescent="0.2">
      <c r="A70" s="320" t="s">
        <v>79</v>
      </c>
      <c r="B70" s="320"/>
      <c r="C70" s="321"/>
      <c r="D70" s="60">
        <v>0</v>
      </c>
      <c r="E70" s="54"/>
      <c r="F70" s="29" t="str">
        <f t="shared" si="0"/>
        <v>NA</v>
      </c>
      <c r="G70" s="60">
        <v>0</v>
      </c>
      <c r="H70" s="54"/>
      <c r="I70" s="29" t="str">
        <f t="shared" si="1"/>
        <v>NA</v>
      </c>
      <c r="J70" s="60">
        <v>0</v>
      </c>
      <c r="K70" s="54"/>
      <c r="L70" s="29" t="str">
        <f t="shared" si="2"/>
        <v>NA</v>
      </c>
      <c r="M70" s="60">
        <v>0</v>
      </c>
      <c r="N70" s="54"/>
      <c r="O70" s="29" t="str">
        <f t="shared" si="3"/>
        <v>NA</v>
      </c>
      <c r="P70" s="60">
        <v>0</v>
      </c>
      <c r="Q70" s="54"/>
      <c r="R70" s="15"/>
    </row>
    <row r="71" spans="1:18" s="64" customFormat="1" ht="3" customHeight="1" x14ac:dyDescent="0.2">
      <c r="A71" s="67"/>
      <c r="D71" s="65"/>
      <c r="E71" s="66"/>
      <c r="G71" s="65"/>
      <c r="H71" s="66"/>
      <c r="J71" s="65"/>
      <c r="K71" s="66"/>
      <c r="M71" s="65"/>
      <c r="N71" s="66"/>
      <c r="P71" s="65"/>
      <c r="Q71" s="66"/>
    </row>
    <row r="72" spans="1:18" ht="15" customHeight="1" x14ac:dyDescent="0.2">
      <c r="A72" s="298" t="s">
        <v>80</v>
      </c>
      <c r="B72" s="298"/>
      <c r="C72" s="298"/>
      <c r="D72" s="60">
        <v>0</v>
      </c>
      <c r="E72" s="54"/>
      <c r="F72" s="29" t="str">
        <f t="shared" si="0"/>
        <v>NA</v>
      </c>
      <c r="G72" s="60">
        <v>0</v>
      </c>
      <c r="H72" s="54"/>
      <c r="I72" s="29" t="str">
        <f t="shared" si="1"/>
        <v>NA</v>
      </c>
      <c r="J72" s="60">
        <v>0</v>
      </c>
      <c r="K72" s="54"/>
      <c r="L72" s="29" t="str">
        <f t="shared" si="2"/>
        <v>NA</v>
      </c>
      <c r="M72" s="60">
        <v>0</v>
      </c>
      <c r="N72" s="54"/>
      <c r="O72" s="29" t="str">
        <f t="shared" si="3"/>
        <v>NA</v>
      </c>
      <c r="P72" s="60">
        <v>0</v>
      </c>
      <c r="Q72" s="54"/>
      <c r="R72" s="15"/>
    </row>
    <row r="73" spans="1:18" s="64" customFormat="1" ht="3" customHeight="1" x14ac:dyDescent="0.2">
      <c r="A73" s="67"/>
      <c r="D73" s="65"/>
      <c r="E73" s="66"/>
      <c r="G73" s="65"/>
      <c r="H73" s="66"/>
      <c r="J73" s="65"/>
      <c r="K73" s="66"/>
      <c r="M73" s="65"/>
      <c r="N73" s="66"/>
      <c r="P73" s="65"/>
      <c r="Q73" s="66"/>
    </row>
    <row r="74" spans="1:18" ht="15" customHeight="1" x14ac:dyDescent="0.2">
      <c r="A74" s="310" t="s">
        <v>81</v>
      </c>
      <c r="B74" s="310"/>
      <c r="C74" s="311"/>
      <c r="D74" s="63">
        <v>0</v>
      </c>
      <c r="E74" s="54"/>
      <c r="F74" s="29" t="str">
        <f t="shared" si="0"/>
        <v>NA</v>
      </c>
      <c r="G74" s="63">
        <v>0</v>
      </c>
      <c r="H74" s="54"/>
      <c r="I74" s="29" t="str">
        <f t="shared" si="1"/>
        <v>NA</v>
      </c>
      <c r="J74" s="63">
        <v>0</v>
      </c>
      <c r="K74" s="54"/>
      <c r="L74" s="29" t="str">
        <f t="shared" si="2"/>
        <v>NA</v>
      </c>
      <c r="M74" s="63">
        <v>0</v>
      </c>
      <c r="N74" s="54"/>
      <c r="O74" s="29" t="str">
        <f t="shared" si="3"/>
        <v>NA</v>
      </c>
      <c r="P74" s="63">
        <v>0</v>
      </c>
      <c r="Q74" s="54"/>
      <c r="R74" s="15"/>
    </row>
    <row r="75" spans="1:18" s="64" customFormat="1" ht="3" customHeight="1" x14ac:dyDescent="0.2">
      <c r="A75" s="67"/>
      <c r="D75" s="65"/>
      <c r="E75" s="66"/>
      <c r="G75" s="65"/>
      <c r="H75" s="66"/>
      <c r="J75" s="65"/>
      <c r="K75" s="66"/>
      <c r="M75" s="65"/>
      <c r="N75" s="66"/>
      <c r="P75" s="65"/>
      <c r="Q75" s="66"/>
    </row>
    <row r="76" spans="1:18" ht="15" customHeight="1" x14ac:dyDescent="0.2">
      <c r="A76" s="298" t="s">
        <v>84</v>
      </c>
      <c r="B76" s="298"/>
      <c r="C76" s="298"/>
      <c r="D76" s="60">
        <v>0</v>
      </c>
      <c r="E76" s="54"/>
      <c r="F76" s="29" t="str">
        <f t="shared" si="0"/>
        <v>NA</v>
      </c>
      <c r="G76" s="60">
        <v>0</v>
      </c>
      <c r="H76" s="54"/>
      <c r="I76" s="29" t="str">
        <f t="shared" si="1"/>
        <v>NA</v>
      </c>
      <c r="J76" s="60">
        <v>0</v>
      </c>
      <c r="K76" s="54"/>
      <c r="L76" s="29" t="str">
        <f t="shared" si="2"/>
        <v>NA</v>
      </c>
      <c r="M76" s="60">
        <v>0</v>
      </c>
      <c r="N76" s="54"/>
      <c r="O76" s="29" t="str">
        <f t="shared" si="3"/>
        <v>NA</v>
      </c>
      <c r="P76" s="60">
        <v>0</v>
      </c>
      <c r="Q76" s="54"/>
      <c r="R76" s="15"/>
    </row>
    <row r="77" spans="1:18" s="64" customFormat="1" ht="3" customHeight="1" x14ac:dyDescent="0.2">
      <c r="A77" s="67"/>
      <c r="D77" s="65"/>
      <c r="E77" s="66"/>
      <c r="G77" s="65"/>
      <c r="H77" s="66"/>
      <c r="J77" s="65"/>
      <c r="K77" s="66"/>
      <c r="M77" s="65"/>
      <c r="N77" s="66"/>
      <c r="P77" s="65"/>
      <c r="Q77" s="66"/>
    </row>
    <row r="78" spans="1:18" ht="15" customHeight="1" x14ac:dyDescent="0.2">
      <c r="A78" s="298" t="s">
        <v>85</v>
      </c>
      <c r="B78" s="298"/>
      <c r="C78" s="298"/>
      <c r="D78" s="60">
        <v>0</v>
      </c>
      <c r="E78" s="54"/>
      <c r="F78" s="29" t="str">
        <f t="shared" si="0"/>
        <v>NA</v>
      </c>
      <c r="G78" s="60">
        <v>0</v>
      </c>
      <c r="H78" s="54"/>
      <c r="I78" s="29" t="str">
        <f t="shared" si="1"/>
        <v>NA</v>
      </c>
      <c r="J78" s="60">
        <v>0</v>
      </c>
      <c r="K78" s="54"/>
      <c r="L78" s="29" t="str">
        <f t="shared" si="2"/>
        <v>NA</v>
      </c>
      <c r="M78" s="60">
        <v>0</v>
      </c>
      <c r="N78" s="54"/>
      <c r="O78" s="29" t="str">
        <f t="shared" si="3"/>
        <v>NA</v>
      </c>
      <c r="P78" s="60">
        <v>0</v>
      </c>
      <c r="Q78" s="54"/>
      <c r="R78" s="15"/>
    </row>
    <row r="79" spans="1:18" s="64" customFormat="1" ht="3" customHeight="1" x14ac:dyDescent="0.2">
      <c r="A79" s="67"/>
      <c r="D79" s="65"/>
      <c r="E79" s="66"/>
      <c r="G79" s="65"/>
      <c r="H79" s="66"/>
      <c r="J79" s="65"/>
      <c r="K79" s="66"/>
      <c r="M79" s="65"/>
      <c r="N79" s="66"/>
      <c r="P79" s="65"/>
      <c r="Q79" s="66"/>
    </row>
    <row r="80" spans="1:18" s="8" customFormat="1" ht="15" customHeight="1" x14ac:dyDescent="0.2">
      <c r="A80" s="316" t="s">
        <v>86</v>
      </c>
      <c r="B80" s="316"/>
      <c r="C80" s="317"/>
      <c r="D80" s="39">
        <f>D70+D72+D78+D76</f>
        <v>0</v>
      </c>
      <c r="E80" s="40" t="e">
        <f>D80/D8</f>
        <v>#DIV/0!</v>
      </c>
      <c r="F80" s="24" t="str">
        <f t="shared" si="0"/>
        <v>NA</v>
      </c>
      <c r="G80" s="39">
        <f>G70+G72+G78+G76</f>
        <v>0</v>
      </c>
      <c r="H80" s="40" t="e">
        <f>G80/G8</f>
        <v>#DIV/0!</v>
      </c>
      <c r="I80" s="24" t="str">
        <f t="shared" si="1"/>
        <v>NA</v>
      </c>
      <c r="J80" s="39">
        <f>J70+J72+J78+J76</f>
        <v>0</v>
      </c>
      <c r="K80" s="40" t="e">
        <f>J80/J8</f>
        <v>#DIV/0!</v>
      </c>
      <c r="L80" s="24" t="str">
        <f t="shared" si="2"/>
        <v>NA</v>
      </c>
      <c r="M80" s="39">
        <f>M70+M72+M78+M76</f>
        <v>0</v>
      </c>
      <c r="N80" s="40" t="e">
        <f>M80/M8</f>
        <v>#DIV/0!</v>
      </c>
      <c r="O80" s="24" t="str">
        <f t="shared" si="3"/>
        <v>NA</v>
      </c>
      <c r="P80" s="39">
        <f>P70+P72+P78+P76</f>
        <v>0</v>
      </c>
      <c r="Q80" s="40" t="e">
        <f>P80/P8</f>
        <v>#DIV/0!</v>
      </c>
      <c r="R80" s="48"/>
    </row>
    <row r="81" spans="1:18" s="64" customFormat="1" ht="3" customHeight="1" x14ac:dyDescent="0.2">
      <c r="A81" s="67"/>
      <c r="D81" s="65"/>
      <c r="E81" s="66"/>
      <c r="G81" s="65"/>
      <c r="H81" s="66"/>
      <c r="J81" s="65"/>
      <c r="K81" s="66"/>
      <c r="M81" s="65"/>
      <c r="N81" s="66"/>
      <c r="P81" s="65"/>
      <c r="Q81" s="66"/>
    </row>
    <row r="82" spans="1:18" ht="15" customHeight="1" x14ac:dyDescent="0.2">
      <c r="A82" s="318" t="s">
        <v>87</v>
      </c>
      <c r="B82" s="318"/>
      <c r="C82" s="319"/>
      <c r="D82" s="201">
        <f>D68+D80</f>
        <v>0</v>
      </c>
      <c r="E82" s="186"/>
      <c r="F82" s="187" t="str">
        <f t="shared" si="0"/>
        <v>NA</v>
      </c>
      <c r="G82" s="201">
        <f>G68+G80</f>
        <v>0</v>
      </c>
      <c r="H82" s="186"/>
      <c r="I82" s="187" t="str">
        <f t="shared" si="1"/>
        <v>NA</v>
      </c>
      <c r="J82" s="201">
        <f>J68+J80</f>
        <v>0</v>
      </c>
      <c r="K82" s="186"/>
      <c r="L82" s="187" t="str">
        <f t="shared" si="2"/>
        <v>NA</v>
      </c>
      <c r="M82" s="201">
        <f>M68+M80</f>
        <v>0</v>
      </c>
      <c r="N82" s="186"/>
      <c r="O82" s="187" t="str">
        <f t="shared" si="3"/>
        <v>NA</v>
      </c>
      <c r="P82" s="201">
        <f>P68+P80</f>
        <v>0</v>
      </c>
      <c r="Q82" s="186"/>
      <c r="R82" s="15"/>
    </row>
    <row r="83" spans="1:18" ht="15" customHeight="1" x14ac:dyDescent="0.2">
      <c r="A83" s="299"/>
      <c r="B83" s="299"/>
      <c r="C83" s="299"/>
      <c r="D83" s="25"/>
      <c r="E83" s="41"/>
      <c r="F83" s="22" t="str">
        <f t="shared" si="0"/>
        <v>NA</v>
      </c>
      <c r="G83" s="25"/>
      <c r="H83" s="41"/>
      <c r="I83" s="22" t="str">
        <f t="shared" si="1"/>
        <v>NA</v>
      </c>
      <c r="J83" s="25"/>
      <c r="K83" s="41"/>
      <c r="L83" s="22" t="str">
        <f t="shared" si="2"/>
        <v>NA</v>
      </c>
      <c r="M83" s="25"/>
      <c r="N83" s="41"/>
      <c r="O83" s="22" t="str">
        <f t="shared" si="3"/>
        <v>NA</v>
      </c>
      <c r="P83" s="25"/>
      <c r="Q83" s="41"/>
      <c r="R83" s="15"/>
    </row>
    <row r="84" spans="1:18" ht="15" customHeight="1" thickBot="1" x14ac:dyDescent="0.25">
      <c r="A84" s="295" t="s">
        <v>91</v>
      </c>
      <c r="B84" s="295"/>
      <c r="C84" s="295"/>
      <c r="D84" s="194">
        <f>D50+D82</f>
        <v>0</v>
      </c>
      <c r="E84" s="195" t="e">
        <f>D84/D8</f>
        <v>#DIV/0!</v>
      </c>
      <c r="F84" s="193" t="str">
        <f t="shared" si="0"/>
        <v>NA</v>
      </c>
      <c r="G84" s="194">
        <f>G50+G82</f>
        <v>0</v>
      </c>
      <c r="H84" s="195" t="e">
        <f>G84/G8</f>
        <v>#DIV/0!</v>
      </c>
      <c r="I84" s="193" t="str">
        <f t="shared" si="1"/>
        <v>NA</v>
      </c>
      <c r="J84" s="194">
        <f>J50+J82</f>
        <v>0</v>
      </c>
      <c r="K84" s="195" t="e">
        <f>J84/J8</f>
        <v>#DIV/0!</v>
      </c>
      <c r="L84" s="193" t="str">
        <f t="shared" si="2"/>
        <v>NA</v>
      </c>
      <c r="M84" s="194">
        <f>M50+M82</f>
        <v>0</v>
      </c>
      <c r="N84" s="195" t="e">
        <f>M84/M8</f>
        <v>#DIV/0!</v>
      </c>
      <c r="O84" s="193" t="str">
        <f t="shared" si="3"/>
        <v>NA</v>
      </c>
      <c r="P84" s="194">
        <f>P50+P82</f>
        <v>0</v>
      </c>
      <c r="Q84" s="195" t="e">
        <f>P84/P8</f>
        <v>#DIV/0!</v>
      </c>
      <c r="R84" s="15"/>
    </row>
    <row r="85" spans="1:18" s="64" customFormat="1" ht="3" customHeight="1" thickTop="1" x14ac:dyDescent="0.2">
      <c r="A85" s="67"/>
      <c r="D85" s="65"/>
      <c r="E85" s="66"/>
      <c r="G85" s="65"/>
      <c r="H85" s="66"/>
      <c r="J85" s="65"/>
      <c r="K85" s="66"/>
      <c r="M85" s="65"/>
      <c r="N85" s="66"/>
      <c r="P85" s="65"/>
      <c r="Q85" s="66"/>
    </row>
    <row r="86" spans="1:18" s="16" customFormat="1" ht="15" customHeight="1" x14ac:dyDescent="0.2">
      <c r="A86" s="298" t="s">
        <v>88</v>
      </c>
      <c r="B86" s="298"/>
      <c r="C86" s="298"/>
      <c r="D86" s="56">
        <v>0</v>
      </c>
      <c r="E86" s="53"/>
      <c r="F86" s="29" t="str">
        <f t="shared" si="0"/>
        <v>NA</v>
      </c>
      <c r="G86" s="56">
        <v>0</v>
      </c>
      <c r="H86" s="53"/>
      <c r="I86" s="29" t="str">
        <f t="shared" si="1"/>
        <v>NA</v>
      </c>
      <c r="J86" s="56">
        <v>0</v>
      </c>
      <c r="K86" s="53"/>
      <c r="L86" s="29" t="str">
        <f t="shared" si="2"/>
        <v>NA</v>
      </c>
      <c r="M86" s="56">
        <v>0</v>
      </c>
      <c r="N86" s="53"/>
      <c r="O86" s="29" t="str">
        <f t="shared" si="3"/>
        <v>NA</v>
      </c>
      <c r="P86" s="56">
        <v>0</v>
      </c>
      <c r="Q86" s="53"/>
    </row>
    <row r="87" spans="1:18" s="64" customFormat="1" ht="3" customHeight="1" x14ac:dyDescent="0.2">
      <c r="A87" s="67"/>
      <c r="D87" s="65"/>
      <c r="E87" s="66"/>
      <c r="G87" s="65"/>
      <c r="H87" s="66"/>
      <c r="J87" s="65"/>
      <c r="K87" s="66"/>
      <c r="M87" s="65"/>
      <c r="N87" s="66"/>
      <c r="P87" s="65"/>
      <c r="Q87" s="66"/>
    </row>
    <row r="88" spans="1:18" s="16" customFormat="1" ht="15" customHeight="1" x14ac:dyDescent="0.2">
      <c r="A88" s="298" t="s">
        <v>89</v>
      </c>
      <c r="B88" s="298"/>
      <c r="C88" s="298"/>
      <c r="D88" s="56">
        <v>0</v>
      </c>
      <c r="E88" s="53"/>
      <c r="F88" s="29" t="str">
        <f t="shared" si="0"/>
        <v>NA</v>
      </c>
      <c r="G88" s="56">
        <v>0</v>
      </c>
      <c r="H88" s="53"/>
      <c r="I88" s="29" t="str">
        <f t="shared" si="1"/>
        <v>NA</v>
      </c>
      <c r="J88" s="56">
        <v>0</v>
      </c>
      <c r="K88" s="53"/>
      <c r="L88" s="29" t="str">
        <f t="shared" si="2"/>
        <v>NA</v>
      </c>
      <c r="M88" s="56">
        <v>0</v>
      </c>
      <c r="N88" s="53"/>
      <c r="O88" s="29" t="str">
        <f t="shared" si="3"/>
        <v>NA</v>
      </c>
      <c r="P88" s="56">
        <v>0</v>
      </c>
      <c r="Q88" s="53"/>
    </row>
    <row r="89" spans="1:18" s="64" customFormat="1" ht="3" customHeight="1" x14ac:dyDescent="0.2">
      <c r="A89" s="67"/>
      <c r="D89" s="65"/>
      <c r="E89" s="66"/>
      <c r="G89" s="65"/>
      <c r="H89" s="66"/>
      <c r="J89" s="65"/>
      <c r="K89" s="66"/>
      <c r="M89" s="65"/>
      <c r="N89" s="66"/>
      <c r="P89" s="65"/>
      <c r="Q89" s="66"/>
    </row>
    <row r="90" spans="1:18" s="16" customFormat="1" ht="15" customHeight="1" x14ac:dyDescent="0.2">
      <c r="A90" s="314" t="s">
        <v>90</v>
      </c>
      <c r="B90" s="314"/>
      <c r="C90" s="315"/>
      <c r="D90" s="201">
        <f>D86+D88</f>
        <v>0</v>
      </c>
      <c r="E90" s="202"/>
      <c r="F90" s="203" t="str">
        <f t="shared" si="0"/>
        <v>NA</v>
      </c>
      <c r="G90" s="201">
        <f>G86+G88</f>
        <v>0</v>
      </c>
      <c r="H90" s="202"/>
      <c r="I90" s="203" t="str">
        <f t="shared" si="1"/>
        <v>NA</v>
      </c>
      <c r="J90" s="201">
        <f>J86+J88</f>
        <v>0</v>
      </c>
      <c r="K90" s="202"/>
      <c r="L90" s="203" t="str">
        <f t="shared" si="2"/>
        <v>NA</v>
      </c>
      <c r="M90" s="201">
        <f>M86+M88</f>
        <v>0</v>
      </c>
      <c r="N90" s="202"/>
      <c r="O90" s="203" t="str">
        <f t="shared" si="3"/>
        <v>NA</v>
      </c>
      <c r="P90" s="201">
        <f>P86+P88</f>
        <v>0</v>
      </c>
      <c r="Q90" s="202"/>
    </row>
    <row r="91" spans="1:18" s="64" customFormat="1" ht="3" customHeight="1" x14ac:dyDescent="0.2">
      <c r="A91" s="67"/>
      <c r="D91" s="65"/>
      <c r="E91" s="66"/>
      <c r="G91" s="65"/>
      <c r="H91" s="66"/>
      <c r="J91" s="65"/>
      <c r="K91" s="66"/>
      <c r="M91" s="65"/>
      <c r="N91" s="66"/>
      <c r="P91" s="65"/>
      <c r="Q91" s="66"/>
    </row>
    <row r="92" spans="1:18" s="16" customFormat="1" ht="15" customHeight="1" x14ac:dyDescent="0.2">
      <c r="A92" s="298" t="s">
        <v>92</v>
      </c>
      <c r="B92" s="298"/>
      <c r="C92" s="298"/>
      <c r="D92" s="55">
        <v>0</v>
      </c>
      <c r="E92" s="41" t="e">
        <f>D92/D84</f>
        <v>#DIV/0!</v>
      </c>
      <c r="F92" s="22" t="str">
        <f t="shared" si="0"/>
        <v>NA</v>
      </c>
      <c r="G92" s="55">
        <v>0</v>
      </c>
      <c r="H92" s="41" t="e">
        <f>G92/G84</f>
        <v>#DIV/0!</v>
      </c>
      <c r="I92" s="22" t="str">
        <f t="shared" si="1"/>
        <v>NA</v>
      </c>
      <c r="J92" s="55">
        <v>0</v>
      </c>
      <c r="K92" s="41" t="e">
        <f>J92/J84</f>
        <v>#DIV/0!</v>
      </c>
      <c r="L92" s="22" t="str">
        <f t="shared" si="2"/>
        <v>NA</v>
      </c>
      <c r="M92" s="55">
        <v>0</v>
      </c>
      <c r="N92" s="41" t="e">
        <f>M92/M84</f>
        <v>#DIV/0!</v>
      </c>
      <c r="O92" s="22" t="str">
        <f t="shared" si="3"/>
        <v>NA</v>
      </c>
      <c r="P92" s="55">
        <v>0</v>
      </c>
      <c r="Q92" s="41" t="e">
        <f>P92/P84</f>
        <v>#DIV/0!</v>
      </c>
    </row>
    <row r="93" spans="1:18" s="64" customFormat="1" ht="3" customHeight="1" x14ac:dyDescent="0.2">
      <c r="A93" s="67"/>
      <c r="D93" s="65"/>
      <c r="E93" s="66"/>
      <c r="G93" s="65"/>
      <c r="H93" s="66"/>
      <c r="J93" s="65"/>
      <c r="K93" s="66"/>
      <c r="M93" s="65"/>
      <c r="N93" s="66"/>
      <c r="P93" s="65"/>
      <c r="Q93" s="66"/>
    </row>
    <row r="94" spans="1:18" ht="15" customHeight="1" thickBot="1" x14ac:dyDescent="0.25">
      <c r="A94" s="295" t="s">
        <v>93</v>
      </c>
      <c r="B94" s="295"/>
      <c r="C94" s="295"/>
      <c r="D94" s="194">
        <f>D84+D90+D92</f>
        <v>0</v>
      </c>
      <c r="E94" s="195" t="e">
        <f>D94/D8</f>
        <v>#DIV/0!</v>
      </c>
      <c r="F94" s="193" t="str">
        <f t="shared" si="0"/>
        <v>NA</v>
      </c>
      <c r="G94" s="194">
        <f>G84+G90+G92</f>
        <v>0</v>
      </c>
      <c r="H94" s="195" t="e">
        <f>G94/G8</f>
        <v>#DIV/0!</v>
      </c>
      <c r="I94" s="193" t="str">
        <f t="shared" si="1"/>
        <v>NA</v>
      </c>
      <c r="J94" s="194">
        <f>J84+J90+J92</f>
        <v>0</v>
      </c>
      <c r="K94" s="195" t="e">
        <f>J94/J8</f>
        <v>#DIV/0!</v>
      </c>
      <c r="L94" s="193" t="str">
        <f t="shared" si="2"/>
        <v>NA</v>
      </c>
      <c r="M94" s="194">
        <f>M84+M90+M92</f>
        <v>0</v>
      </c>
      <c r="N94" s="195" t="e">
        <f>M94/M8</f>
        <v>#DIV/0!</v>
      </c>
      <c r="O94" s="193" t="str">
        <f t="shared" si="3"/>
        <v>NA</v>
      </c>
      <c r="P94" s="194">
        <f>P84+P90+P92</f>
        <v>0</v>
      </c>
      <c r="Q94" s="195" t="e">
        <f>P94/P8</f>
        <v>#DIV/0!</v>
      </c>
      <c r="R94" s="15"/>
    </row>
    <row r="95" spans="1:18" s="64" customFormat="1" ht="3" customHeight="1" thickTop="1" x14ac:dyDescent="0.2">
      <c r="A95" s="67"/>
      <c r="D95" s="65"/>
      <c r="E95" s="66"/>
      <c r="G95" s="65"/>
      <c r="H95" s="66"/>
      <c r="J95" s="65"/>
      <c r="K95" s="66"/>
      <c r="M95" s="65"/>
      <c r="N95" s="66"/>
      <c r="P95" s="65"/>
      <c r="Q95" s="66"/>
    </row>
    <row r="96" spans="1:18" s="16" customFormat="1" ht="15" customHeight="1" x14ac:dyDescent="0.2">
      <c r="A96" s="296" t="s">
        <v>94</v>
      </c>
      <c r="B96" s="296"/>
      <c r="C96" s="297"/>
      <c r="D96" s="57">
        <v>0</v>
      </c>
      <c r="E96" s="42"/>
      <c r="F96" s="21" t="str">
        <f t="shared" si="0"/>
        <v>NA</v>
      </c>
      <c r="G96" s="57">
        <v>0</v>
      </c>
      <c r="H96" s="42"/>
      <c r="I96" s="21" t="str">
        <f t="shared" si="1"/>
        <v>NA</v>
      </c>
      <c r="J96" s="57">
        <v>0</v>
      </c>
      <c r="K96" s="42"/>
      <c r="L96" s="21" t="str">
        <f t="shared" si="2"/>
        <v>NA</v>
      </c>
      <c r="M96" s="57">
        <v>0</v>
      </c>
      <c r="N96" s="42"/>
      <c r="O96" s="21" t="str">
        <f t="shared" si="3"/>
        <v>NA</v>
      </c>
      <c r="P96" s="57">
        <v>0</v>
      </c>
      <c r="Q96" s="42"/>
    </row>
    <row r="97" spans="1:18" s="64" customFormat="1" ht="3" customHeight="1" x14ac:dyDescent="0.2">
      <c r="A97" s="67"/>
      <c r="D97" s="65"/>
      <c r="E97" s="66"/>
      <c r="G97" s="65"/>
      <c r="H97" s="66"/>
      <c r="J97" s="65"/>
      <c r="K97" s="66"/>
      <c r="M97" s="65"/>
      <c r="N97" s="66"/>
      <c r="P97" s="65"/>
      <c r="Q97" s="66"/>
    </row>
    <row r="98" spans="1:18" s="16" customFormat="1" ht="15" customHeight="1" x14ac:dyDescent="0.2">
      <c r="A98" s="296" t="s">
        <v>95</v>
      </c>
      <c r="B98" s="296"/>
      <c r="C98" s="297"/>
      <c r="D98" s="57">
        <v>0</v>
      </c>
      <c r="E98" s="42"/>
      <c r="F98" s="21" t="str">
        <f t="shared" si="0"/>
        <v>NA</v>
      </c>
      <c r="G98" s="57">
        <v>0</v>
      </c>
      <c r="H98" s="42"/>
      <c r="I98" s="21" t="str">
        <f t="shared" si="1"/>
        <v>NA</v>
      </c>
      <c r="J98" s="57">
        <v>0</v>
      </c>
      <c r="K98" s="42"/>
      <c r="L98" s="21" t="str">
        <f t="shared" si="2"/>
        <v>NA</v>
      </c>
      <c r="M98" s="57">
        <v>0</v>
      </c>
      <c r="N98" s="42"/>
      <c r="O98" s="21" t="str">
        <f t="shared" si="3"/>
        <v>NA</v>
      </c>
      <c r="P98" s="57">
        <v>0</v>
      </c>
      <c r="Q98" s="42"/>
    </row>
    <row r="99" spans="1:18" s="64" customFormat="1" ht="3" customHeight="1" x14ac:dyDescent="0.2">
      <c r="A99" s="67"/>
      <c r="D99" s="65"/>
      <c r="E99" s="66"/>
      <c r="G99" s="65"/>
      <c r="H99" s="66"/>
      <c r="J99" s="65"/>
      <c r="K99" s="66"/>
      <c r="M99" s="65"/>
      <c r="N99" s="66"/>
      <c r="P99" s="65"/>
      <c r="Q99" s="66"/>
    </row>
    <row r="100" spans="1:18" ht="15" customHeight="1" thickBot="1" x14ac:dyDescent="0.25">
      <c r="A100" s="293" t="s">
        <v>96</v>
      </c>
      <c r="B100" s="293"/>
      <c r="C100" s="293"/>
      <c r="D100" s="198">
        <f>'Assets and Liabilities'!D53</f>
        <v>0</v>
      </c>
      <c r="E100" s="199" t="e">
        <f>D100/D102</f>
        <v>#DIV/0!</v>
      </c>
      <c r="F100" s="200" t="str">
        <f t="shared" si="0"/>
        <v>NA</v>
      </c>
      <c r="G100" s="198">
        <f>'Assets and Liabilities'!G53</f>
        <v>0</v>
      </c>
      <c r="H100" s="199" t="e">
        <f>G100/G102</f>
        <v>#DIV/0!</v>
      </c>
      <c r="I100" s="200" t="str">
        <f t="shared" si="1"/>
        <v>NA</v>
      </c>
      <c r="J100" s="198">
        <f>'Assets and Liabilities'!J53</f>
        <v>0</v>
      </c>
      <c r="K100" s="199" t="e">
        <f>J100/J102</f>
        <v>#DIV/0!</v>
      </c>
      <c r="L100" s="200" t="str">
        <f t="shared" si="2"/>
        <v>NA</v>
      </c>
      <c r="M100" s="198">
        <f>'Assets and Liabilities'!M53</f>
        <v>0</v>
      </c>
      <c r="N100" s="199" t="e">
        <f>M100/M102</f>
        <v>#DIV/0!</v>
      </c>
      <c r="O100" s="200" t="str">
        <f t="shared" si="3"/>
        <v>NA</v>
      </c>
      <c r="P100" s="198">
        <f>'Assets and Liabilities'!P53</f>
        <v>0</v>
      </c>
      <c r="Q100" s="199" t="e">
        <f>P100/P102</f>
        <v>#DIV/0!</v>
      </c>
    </row>
    <row r="101" spans="1:18" s="64" customFormat="1" ht="3" customHeight="1" thickTop="1" x14ac:dyDescent="0.2">
      <c r="A101" s="67"/>
      <c r="D101" s="65"/>
      <c r="E101" s="66"/>
      <c r="G101" s="65"/>
      <c r="H101" s="66"/>
      <c r="J101" s="65"/>
      <c r="K101" s="66"/>
      <c r="M101" s="65"/>
      <c r="N101" s="66"/>
      <c r="P101" s="65"/>
      <c r="Q101" s="66"/>
    </row>
    <row r="102" spans="1:18" ht="15" customHeight="1" thickBot="1" x14ac:dyDescent="0.25">
      <c r="A102" s="294" t="s">
        <v>97</v>
      </c>
      <c r="B102" s="294"/>
      <c r="C102" s="294"/>
      <c r="D102" s="196">
        <f>D94+D100+SUM(D96:D98)</f>
        <v>0</v>
      </c>
      <c r="E102" s="197"/>
      <c r="F102" s="193" t="str">
        <f t="shared" si="0"/>
        <v>NA</v>
      </c>
      <c r="G102" s="196">
        <f>G94+G100+SUM(G96:G98)</f>
        <v>0</v>
      </c>
      <c r="H102" s="197"/>
      <c r="I102" s="193" t="str">
        <f t="shared" si="1"/>
        <v>NA</v>
      </c>
      <c r="J102" s="196">
        <f>J94+J100+SUM(J96:J98)</f>
        <v>0</v>
      </c>
      <c r="K102" s="197"/>
      <c r="L102" s="193" t="str">
        <f t="shared" si="2"/>
        <v>NA</v>
      </c>
      <c r="M102" s="196">
        <f>M94+M100+SUM(M96:M98)</f>
        <v>0</v>
      </c>
      <c r="N102" s="197"/>
      <c r="O102" s="193" t="str">
        <f t="shared" si="3"/>
        <v>NA</v>
      </c>
      <c r="P102" s="196">
        <f>P94+P100+SUM(P96:P98)</f>
        <v>0</v>
      </c>
      <c r="Q102" s="197"/>
      <c r="R102" s="15"/>
    </row>
    <row r="103" spans="1:18" ht="13.5" thickTop="1" x14ac:dyDescent="0.2"/>
  </sheetData>
  <sheetProtection password="80C1" sheet="1" objects="1" scenarios="1" selectLockedCells="1" autoFilter="0"/>
  <mergeCells count="70">
    <mergeCell ref="M4:N4"/>
    <mergeCell ref="P4:Q4"/>
    <mergeCell ref="A5:C5"/>
    <mergeCell ref="O5:O6"/>
    <mergeCell ref="M6:N6"/>
    <mergeCell ref="P6:Q6"/>
    <mergeCell ref="A1:E2"/>
    <mergeCell ref="A4:C4"/>
    <mergeCell ref="D4:E4"/>
    <mergeCell ref="L5:L6"/>
    <mergeCell ref="A6:C6"/>
    <mergeCell ref="D6:E6"/>
    <mergeCell ref="G6:H6"/>
    <mergeCell ref="J6:K6"/>
    <mergeCell ref="F5:F6"/>
    <mergeCell ref="I5:I6"/>
    <mergeCell ref="F1:F2"/>
    <mergeCell ref="G1:G2"/>
    <mergeCell ref="J4:K4"/>
    <mergeCell ref="A16:C16"/>
    <mergeCell ref="A20:C20"/>
    <mergeCell ref="A22:C22"/>
    <mergeCell ref="A24:C24"/>
    <mergeCell ref="A8:C8"/>
    <mergeCell ref="A10:C10"/>
    <mergeCell ref="A12:C12"/>
    <mergeCell ref="A14:C14"/>
    <mergeCell ref="A40:C40"/>
    <mergeCell ref="A42:C42"/>
    <mergeCell ref="A44:C44"/>
    <mergeCell ref="A48:C48"/>
    <mergeCell ref="A26:C26"/>
    <mergeCell ref="A30:C30"/>
    <mergeCell ref="A28:C28"/>
    <mergeCell ref="A36:C36"/>
    <mergeCell ref="A38:C38"/>
    <mergeCell ref="A56:C56"/>
    <mergeCell ref="A60:C60"/>
    <mergeCell ref="A62:C62"/>
    <mergeCell ref="A64:C64"/>
    <mergeCell ref="A49:C49"/>
    <mergeCell ref="A50:C50"/>
    <mergeCell ref="A52:C52"/>
    <mergeCell ref="A54:C54"/>
    <mergeCell ref="A82:C82"/>
    <mergeCell ref="A68:C68"/>
    <mergeCell ref="A70:C70"/>
    <mergeCell ref="A72:C72"/>
    <mergeCell ref="A76:C76"/>
    <mergeCell ref="A92:C92"/>
    <mergeCell ref="A83:C83"/>
    <mergeCell ref="A84:C84"/>
    <mergeCell ref="G4:H4"/>
    <mergeCell ref="A18:C18"/>
    <mergeCell ref="A32:C32"/>
    <mergeCell ref="A46:C46"/>
    <mergeCell ref="A34:C34"/>
    <mergeCell ref="A58:C58"/>
    <mergeCell ref="A66:C66"/>
    <mergeCell ref="A86:C86"/>
    <mergeCell ref="A88:C88"/>
    <mergeCell ref="A90:C90"/>
    <mergeCell ref="A80:C80"/>
    <mergeCell ref="A74:C74"/>
    <mergeCell ref="A78:C78"/>
    <mergeCell ref="A100:C100"/>
    <mergeCell ref="A102:C102"/>
    <mergeCell ref="A94:C94"/>
    <mergeCell ref="A96:C96"/>
    <mergeCell ref="A98:C98"/>
  </mergeCells>
  <phoneticPr fontId="3" type="noConversion"/>
  <conditionalFormatting sqref="J94 G94 J40 D94 G40 G82 J82 D40 D82 M50 G84 J84 G50 J50 D84 D50 M102 D102 G102 J102 M94 M40 M82 M84 P50 P102 P94 P40 P82 P84">
    <cfRule type="cellIs" dxfId="0" priority="1" stopIfTrue="1" operator="lessThan">
      <formula>0</formula>
    </cfRule>
  </conditionalFormatting>
  <pageMargins left="0.75" right="0.75" top="1" bottom="1" header="0.5" footer="0.5"/>
  <pageSetup paperSize="9" scale="44" orientation="landscape" r:id="rId1"/>
  <headerFooter alignWithMargins="0"/>
  <colBreaks count="1" manualBreakCount="1">
    <brk id="17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Assets and Liabilities</vt:lpstr>
      <vt:lpstr>Profit &amp; Loss Statement</vt:lpstr>
      <vt:lpstr>'Assets and Liabilities'!Print_Area</vt:lpstr>
      <vt:lpstr>'Profit &amp; Loss Statement'!Print_Area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Thym</dc:creator>
  <cp:lastModifiedBy>Lozanova, Liliya /BDF VIE</cp:lastModifiedBy>
  <cp:lastPrinted>2016-08-03T11:02:37Z</cp:lastPrinted>
  <dcterms:created xsi:type="dcterms:W3CDTF">2009-12-22T13:33:18Z</dcterms:created>
  <dcterms:modified xsi:type="dcterms:W3CDTF">2017-08-18T22:28:46Z</dcterms:modified>
</cp:coreProperties>
</file>